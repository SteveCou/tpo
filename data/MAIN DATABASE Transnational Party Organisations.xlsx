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ain Database" sheetId="1" r:id="rId4"/>
    <sheet state="visible" name="SR &amp; IL" sheetId="2" r:id="rId5"/>
    <sheet state="visible" name="Social Media Accounts" sheetId="3" r:id="rId6"/>
  </sheets>
  <definedNames>
    <definedName localSheetId="0" name="_Hlk143185217">'Main Database'!$K$23</definedName>
  </definedNames>
  <calcPr/>
  <extLst>
    <ext uri="GoogleSheetsCustomDataVersion2">
      <go:sheetsCustomData xmlns:go="http://customooxmlschemas.google.com/" r:id="rId7" roundtripDataChecksum="PY7hy8aXvj9Y/vZ4Dv3tZ5Q2KDYaItp1GLbxweB/w14="/>
    </ext>
  </extLst>
</workbook>
</file>

<file path=xl/sharedStrings.xml><?xml version="1.0" encoding="utf-8"?>
<sst xmlns="http://schemas.openxmlformats.org/spreadsheetml/2006/main" count="1841" uniqueCount="297">
  <si>
    <t xml:space="preserve">Physical transnational party infrastructure </t>
  </si>
  <si>
    <t>Size and Location of Transnational Party Infrastructure</t>
  </si>
  <si>
    <t>Organisational variations of transnational party infrastructure</t>
  </si>
  <si>
    <t>Digital transnational party infrastructure (social media)</t>
  </si>
  <si>
    <t>Party</t>
  </si>
  <si>
    <t>Number of seats in parliament (2nd chamber, 31.12.2024)</t>
  </si>
  <si>
    <t>Website dedicated to party international</t>
  </si>
  <si>
    <t>Own International office/organisation/network</t>
  </si>
  <si>
    <t>Number of branches/contacts (Ø&amp;C, G&amp;S 2023)</t>
  </si>
  <si>
    <t>Size (Members) (Ø&amp;C, G&amp;S)</t>
  </si>
  <si>
    <t>Affiliated Institute</t>
  </si>
  <si>
    <t>Level</t>
  </si>
  <si>
    <t>Size and location (Ø&amp;C, G&amp;S 2023)</t>
  </si>
  <si>
    <t>Statutory recognition (Borz 2020, Soare 2024)</t>
  </si>
  <si>
    <t>Registration of branches (R&amp;S 2020,vH&amp;K 2021, vNs 2021)</t>
  </si>
  <si>
    <t>Membership status of members abroad</t>
  </si>
  <si>
    <t>Branches with own rules and procedures (vNs 2021)</t>
  </si>
  <si>
    <t>Type of activities (vH&amp;K 2021)</t>
  </si>
  <si>
    <t>Degree of formalisation Soare 2024, R&amp;S 2020)</t>
  </si>
  <si>
    <t>Organisation initiated at home or abroad?</t>
  </si>
  <si>
    <t>Organisation controlled by home party (vNs 2021; G&amp;S 2023; Soare 2024)</t>
  </si>
  <si>
    <t>Ideological Linkage (emigrants addressed in party programme) (Ø&amp;C)</t>
  </si>
  <si>
    <t>Formal rights within the national party (vH&amp;K 2021)</t>
  </si>
  <si>
    <t>Influence over the party’s domestic policies (vNs 2021)</t>
  </si>
  <si>
    <t>Financial support from national party</t>
  </si>
  <si>
    <t>Delegate in the party’s national org.</t>
  </si>
  <si>
    <t>Degree of incorproation (K&amp;vH 2020; Soare 2024) Soare 2021</t>
  </si>
  <si>
    <t>Facebook/number of followers/last entry</t>
  </si>
  <si>
    <t>Instagram/number of followers/last entry</t>
  </si>
  <si>
    <t>Twitter (X)/number of followers/last entry</t>
  </si>
  <si>
    <t>TikTok/number of followers/last entry</t>
  </si>
  <si>
    <t>Contact</t>
  </si>
  <si>
    <t>Netherlands</t>
  </si>
  <si>
    <t>Response</t>
  </si>
  <si>
    <t>Netherland</t>
  </si>
  <si>
    <t>BBB</t>
  </si>
  <si>
    <t>7/150</t>
  </si>
  <si>
    <t>yes</t>
  </si>
  <si>
    <t>0/0</t>
  </si>
  <si>
    <t>n.a.</t>
  </si>
  <si>
    <t>Medium</t>
  </si>
  <si>
    <t>x</t>
  </si>
  <si>
    <t>Stichting BBB Internationaal (SBI), no branches, no activites so far but some are planned, no knowledge on members abroad</t>
  </si>
  <si>
    <t>no</t>
  </si>
  <si>
    <t>n.av.</t>
  </si>
  <si>
    <t>Low</t>
  </si>
  <si>
    <t>yes/184/14. Okt 2025</t>
  </si>
  <si>
    <t>https://boerburgerbeweging.nl/contact/ (online Form)</t>
  </si>
  <si>
    <t>CDA</t>
  </si>
  <si>
    <t>5/150</t>
  </si>
  <si>
    <t>3/0</t>
  </si>
  <si>
    <t>High</t>
  </si>
  <si>
    <t>CDA Internationaal, https://www.cda.nl/cda-internationaal;  3 sections abroad: USA (Washington), St. Eustatius, Belgium/Luxemburg. Eduardo Frei foundation, https://www.cda.nl/eduardo-frei-foundation; Cooperation with ALDE; Netherlands Institute for Multiparty Democracy, https://nimd.org/organization/</t>
  </si>
  <si>
    <t xml:space="preserve"> </t>
  </si>
  <si>
    <t>formal</t>
  </si>
  <si>
    <t>official</t>
  </si>
  <si>
    <t>regular</t>
  </si>
  <si>
    <t xml:space="preserve">home/abroad </t>
  </si>
  <si>
    <t>yes/1059/31. Mar. 2025</t>
  </si>
  <si>
    <t>cda@cda.nl (Partijbureau)</t>
  </si>
  <si>
    <t>CU</t>
  </si>
  <si>
    <t>3/150</t>
  </si>
  <si>
    <t>ChristenUnie Internationaal,  https://www.christenunie.nl/nl/internationaal; Foundation for International Christian Democratic Development, Cooperation with European Christian Political Movement (ECPM); Netherlands Institute for Multiparty Democracy, https://nimd.org/organization/</t>
  </si>
  <si>
    <t>info@christenunie.nl (Partijbureau); wi@christenunie.nl (Wetenschappelijk Instituut)</t>
  </si>
  <si>
    <t>D66</t>
  </si>
  <si>
    <t>9/150</t>
  </si>
  <si>
    <t>6;36</t>
  </si>
  <si>
    <r>
      <rPr>
        <rFont val="Calibri"/>
        <color theme="1"/>
        <sz val="11.0"/>
      </rPr>
      <t>D66 Internationaal, https://d66.nl/vereniging/d66-internationaal/, D66 as a party has its own International Bureau: foundation International Democratic Initiative (IDI). The International Bureau consists of a full time International Officer and a (voluntary) Board. The board of the International Democratic Initiative consists of the International Secretary and the Treasurer of the National Board supplemented by a general board member elected by Congress.  Currently D66 has three party representatives abroad, these are MEPs. They are based in Brussels. Furthermore, there are official party departments abroad. Such as United Kingdom, Belgium &amp; Luxembourg, London, France and USA and the 'Region Abroad' ('Regio Buitenland'), which includes members that are not represented in one of the other international sections. 618 members live abroad, D66'ers can be found in the following 36 countries as part of '</t>
    </r>
    <r>
      <rPr>
        <rFont val="Calibri"/>
        <i/>
        <color theme="1"/>
        <sz val="11.0"/>
      </rPr>
      <t>Regio Buitenland</t>
    </r>
    <r>
      <rPr>
        <rFont val="Calibri"/>
        <color theme="1"/>
        <sz val="11.0"/>
      </rPr>
      <t>': Aruba, Australia, Belgium, Canada, China, Denmark, Germany, Egypt, France, Greece, Hungary, Hong Kong, Ireland, India, Indonesia, Italy, Japan, Luxembourg, Mexico, Mozambique, Norway, Austria, Panama, Poland, Russia, Singapore, Spain, Slovakia, St. Maarten, Thailand, Czech Republic, UK, USA, Iceland, Sweden, Switzerland, https://d66.nl/internationaal/doe-mee/,   The region department abroad can undertake things on its own initiative. In addition, D66 in Europe is a member of the Renew Europe group. Cooperation with ALDE, Netherlands Institute for Multiparty Democracy, https://nimd.org/organization/; Foundation Internationaal Democratisch Initiatief (IDI).</t>
    </r>
  </si>
  <si>
    <t xml:space="preserve">yes </t>
  </si>
  <si>
    <t xml:space="preserve">abroad </t>
  </si>
  <si>
    <t>yes (no)</t>
  </si>
  <si>
    <t>yes/1338/4. Oct 2025</t>
  </si>
  <si>
    <t>yes/1780/14. Oct. 2025</t>
  </si>
  <si>
    <t>internationaal@d66.nl (D66 Internationaal); internationaalsecretaris@d66.nl (Maartje Jansen), info@d66.nl (general contact)</t>
  </si>
  <si>
    <t>Denk</t>
  </si>
  <si>
    <t>No international infrastructure</t>
  </si>
  <si>
    <t>https://www.bewegingdenk.nl/contact/ (online form)</t>
  </si>
  <si>
    <t>FvD</t>
  </si>
  <si>
    <t xml:space="preserve">Forum for Democracy International, https://fvdinternational.com </t>
  </si>
  <si>
    <t>home</t>
  </si>
  <si>
    <t>yes/1160/6. Aug. 2022</t>
  </si>
  <si>
    <t>yes/5153/15. Oct. 2025</t>
  </si>
  <si>
    <t>international@fvd.nl (FvD Internationaal); partij@fvd.nl (Partijbureau)</t>
  </si>
  <si>
    <t>GL</t>
  </si>
  <si>
    <t>(with PvdA)</t>
  </si>
  <si>
    <t>2;0</t>
  </si>
  <si>
    <t xml:space="preserve">International secretary, two branches abroad - according to their secretary: The Belgium branch in Brussels (158 members) and the International Branch, International Foundation GroenLinks, https://groenlinks.nl/onze-partij/international-foundation-groenlinks; Collaboration with European Greens; Netherlands Institute for Multiparty Democracy, https://nimd.org/organization/; EnOP https://ifg.groenlinks.nl/our-network/european-network-of-political-foundations </t>
  </si>
  <si>
    <t>irregular</t>
  </si>
  <si>
    <t>no (yes)</t>
  </si>
  <si>
    <t>yes/38/19. Oct. 2023</t>
  </si>
  <si>
    <t>myemane@groenlinks.nl (International Foundation GroenLinks, Milka Yemane, Head of International office); international.secretary@groenlinks.nl Gebke van Gaal, Internationaal Secretaris; vragen@groenlinks.nl (General Info)</t>
  </si>
  <si>
    <t>JA21</t>
  </si>
  <si>
    <t>1/150</t>
  </si>
  <si>
    <t>?/0</t>
  </si>
  <si>
    <t>partij@ja21.nl (Partijbureau)</t>
  </si>
  <si>
    <t>NSC</t>
  </si>
  <si>
    <t>20/150</t>
  </si>
  <si>
    <t>The international secretariat is being set up. No branches abroad, 100 party members abroad, no affiliated institute</t>
  </si>
  <si>
    <t>info@partijnieuwsociaalcontract.nl. (Genernal questions)</t>
  </si>
  <si>
    <t>PvdA</t>
  </si>
  <si>
    <t>25/150</t>
  </si>
  <si>
    <t>3;0</t>
  </si>
  <si>
    <t>PdvA</t>
  </si>
  <si>
    <t xml:space="preserve">Three official branches abroad: de PvdA Brussel (https://brussel.pvda.nl/), de PvdA New York (https://www.facebook.com/groups/54774068328/) and the PvdA Geneve; PdvA Interantionaal Secretariaat, https://internationaal.pvda.nl/; Netherlands Institute for Multiparty Democracy, https://nimd.org/organization/; Foundation Max van Stioffel, https://foundationmaxvanderstoel.nl/; Colalboration with Pary of European Socialists, https://pes.eu/; </t>
  </si>
  <si>
    <t>offical</t>
  </si>
  <si>
    <t>internationaal@pvda.nl (internationaal secretaris), THuisintVeld@pvda.nl (Contact internationaal secretarisTies Huis in ’t Veld); basbijlsma@gmail.com (Buitenlandcommissie, Bas Bijlsma)</t>
  </si>
  <si>
    <t>PvdD</t>
  </si>
  <si>
    <t>Party for the Anmials International Movement, https://www.partyfortheanimals.com/en/international-movement; Animal Politics Foundation (APF), Organisation of world conference with likeminded parties, no knowledge on members abroad</t>
  </si>
  <si>
    <t>(Party for the Animals International Movement) info@animalpoliticsfoundation.nl; https://www.partijvoordedieren.nl/contact (general contact)</t>
  </si>
  <si>
    <t>PVV</t>
  </si>
  <si>
    <t>37/150</t>
  </si>
  <si>
    <t>pvv.publiek@tweedekamer.nl (General Information), https://www.pvv.nl/mail-aan-geert/ (Not sure about this)</t>
  </si>
  <si>
    <t>SGP</t>
  </si>
  <si>
    <t>Yes</t>
  </si>
  <si>
    <t>SGP Internationaal, https://sgp.nl/internationaal (acts as the international divison but is also labeled an independent foundation), Netherlands Institute for Multiparty Democracy, https://nimd.org/organization/, 31 members abroad, no branches</t>
  </si>
  <si>
    <t>﻿info@sgp.nl (Partijbureau); international@sgp.nl (SGP Internationaal)</t>
  </si>
  <si>
    <t>SP</t>
  </si>
  <si>
    <t>No</t>
  </si>
  <si>
    <t>SP International, international.sp.nl</t>
  </si>
  <si>
    <t xml:space="preserve"> sp@sp.nl (main party office); </t>
  </si>
  <si>
    <t>Volt</t>
  </si>
  <si>
    <t>2/150</t>
  </si>
  <si>
    <t>https://voltnederland.org/contactformulier (Contact form); info@voltnederland.org (General questions)</t>
  </si>
  <si>
    <t>VVD</t>
  </si>
  <si>
    <t>24/150</t>
  </si>
  <si>
    <t xml:space="preserve">VVD Internationaal,https://www.vvd.nl/internationaal/; Cooperation with ALDE; Netherlands Institute for Multiparty Democracy, https://nimd.org/organization/ </t>
  </si>
  <si>
    <t>yes/1687/18. Oct. 2025</t>
  </si>
  <si>
    <t>yes/ 1905/19. Oct. 2025</t>
  </si>
  <si>
    <t>yes/1815/15. Nov. 2023</t>
  </si>
  <si>
    <t xml:space="preserve"> internationaal@vvd.nl (VVD Internationaal); info@vvd.nl. (General Secretary)</t>
  </si>
  <si>
    <t>Switzerland</t>
  </si>
  <si>
    <t>SVP</t>
  </si>
  <si>
    <t>62/200</t>
  </si>
  <si>
    <t>3;4</t>
  </si>
  <si>
    <t>SVP Interantional with own statutes. SVP international: 3 branches (Costa Rica (20 members), Ivory Coast (12 members), South Africa. 4 country contacts (Liechtenstein, Norway, England, Hungary). 400 members,https://www.svp-international.ch/en/</t>
  </si>
  <si>
    <t>yes/319/28. Aug. 2025</t>
  </si>
  <si>
    <t xml:space="preserve">Pascal Senn senn@svp.ch </t>
  </si>
  <si>
    <t>41/200</t>
  </si>
  <si>
    <t>7;23</t>
  </si>
  <si>
    <t xml:space="preserve">SP Interantional with own statutes. SP International: 7 branches: Antenna Berlin (10 members), Brussels (2-3 members), Rome (4 members), Netanya (7 members), USA, Berkeley CA (8 members) Antenna Africa, Burundi (10 members), and France, Paris (2-3 members). 23 Contact persons in Bulgaria (Sofia), Germany (Frankfurt/Main, Munich, Oberbayern-Chiemgau), England (London), France (Paris), Ireland (Dublin), the Netherlands (Harleem (sic!)), Austria (Vienna), Portugal (Luz/Lagos), Spain (Alicante), Argentina (Bueno Aires), Brazil (Sao Paulo), Canada (Montreal), Nicaragua (Managua), US (New York), Gambia (Serrekunda), South Africa (Claremont, Cape Town), Hong Kong, Japan (Tokyo), Cambodia (Phnom Penh), Thailand (Chiang Mai), Australia (Sidney). Total 155 members. Cooperation with other social democratic parties, https://www.sp-ps.ch/partei/sp-international/, https://www.sp-ps.ch/wp-content/uploads/2020/11/sp-int-taetigkeitsbericht-2021_d.pdf, https://www.sp-ps.ch/weitere-anlaufstellen/ </t>
  </si>
  <si>
    <t>yes/1212/13. Nov. 2023</t>
  </si>
  <si>
    <t>international@spschweiz.ch</t>
  </si>
  <si>
    <t>FDP</t>
  </si>
  <si>
    <t>28/200</t>
  </si>
  <si>
    <t>0/15</t>
  </si>
  <si>
    <t>FDP Interantional with own statutes. No official branches, cooperation with other Liberal Parties and ALDE. 15 contact persons in Germany (Berlin), BeNeLux (Luxemburg), Scandinavia (Helsinki), Great Britain (London), Spain (Valencia, Mallorca), Italy (Milan), Greece (Athens), Middle East (Dubai), Russia and Baltic States (St. Petersburg), Asia (Singapore), North America (Denver, Vancouver), Central-and South America (Mexico City), Caribbean (Santo Domingo),  https://www.fdp-international.com/aktuell/news/details/willkommen-bei-der-fdp-international,https://www.fdp-international.com/partei/global</t>
  </si>
  <si>
    <t>yes/319/10. May 2022</t>
  </si>
  <si>
    <t>freiermuth@fdp-international.com</t>
  </si>
  <si>
    <t>The Centre</t>
  </si>
  <si>
    <t>29/200</t>
  </si>
  <si>
    <t>The Centre International https://die-mitte.ch/die-mitte-international/</t>
  </si>
  <si>
    <t>at home</t>
  </si>
  <si>
    <t>yes/413/26. Sept. 2024</t>
  </si>
  <si>
    <t>elisabeth.schneider@parl.ch</t>
  </si>
  <si>
    <t>GPS</t>
  </si>
  <si>
    <t>23/200</t>
  </si>
  <si>
    <t>No international infrastructure but https://gruene.ch/allgemein/netzwerk-gruene-international, Member of the European Greens and Global Greens with delegates</t>
  </si>
  <si>
    <t>n/a</t>
  </si>
  <si>
    <t>raphael.noser@gruene.ch</t>
  </si>
  <si>
    <t>GLP</t>
  </si>
  <si>
    <t>10/200</t>
  </si>
  <si>
    <t>1;13</t>
  </si>
  <si>
    <t>Green Liberals International https://international.grunliberale.ch/. This is the only one foreign section of GLP Switzerland. At the founding meeting in September 2022 the GLP International had 40 members. 13 Regional contacts: Austria and Balcan; Germany, South - and Nord America; Germany Nord; Germany East, Portugal and Brazil; Germany West; France and Benelux; France West; Spain Nord; GB and Ireland; Asia, Africa, Scandinavia; Australia and New Zealand</t>
  </si>
  <si>
    <t>informal</t>
  </si>
  <si>
    <t>yes/48/29. Spet. 2025</t>
  </si>
  <si>
    <t>thomas.haeni@grunliberale.ch</t>
  </si>
  <si>
    <t>EVP</t>
  </si>
  <si>
    <t>2/200</t>
  </si>
  <si>
    <t xml:space="preserve">Several </t>
  </si>
  <si>
    <t>Several dozen members. No international infrastructure</t>
  </si>
  <si>
    <t>EDU</t>
  </si>
  <si>
    <t>LdT</t>
  </si>
  <si>
    <t>1/200</t>
  </si>
  <si>
    <t>MCG</t>
  </si>
  <si>
    <t>Belgium FR</t>
  </si>
  <si>
    <t>Belgium FR (accessed 30.03.2026)</t>
  </si>
  <si>
    <t>DéFi</t>
  </si>
  <si>
    <t>DéFI sans frontières; https://www.defi.be/associations-partenaires/#defi-nofrontieres</t>
  </si>
  <si>
    <t>Ecolo</t>
  </si>
  <si>
    <t>Coolaborate with European Greens</t>
  </si>
  <si>
    <t>LE</t>
  </si>
  <si>
    <t>14/150</t>
  </si>
  <si>
    <t>MR</t>
  </si>
  <si>
    <t>Le Mouvement Réformateur International, https://www.facebook.com/mr.allaroundtheworld/; Cooperation with ALDE</t>
  </si>
  <si>
    <t>yes/2244/21.Nov 2024</t>
  </si>
  <si>
    <t>PS</t>
  </si>
  <si>
    <t>16/150</t>
  </si>
  <si>
    <t xml:space="preserve">https://www.ps.be/international, Les Belges à l'Etranger, https://www.facebook.com/BAEPS/; Collaboration with Le Parti Socialiste Européen (PSE); L'Internationale Socialiste; </t>
  </si>
  <si>
    <t>yes/821/11. Oct. 2024</t>
  </si>
  <si>
    <t>PTB-PVDA</t>
  </si>
  <si>
    <t>15/150</t>
  </si>
  <si>
    <t>PTB</t>
  </si>
  <si>
    <t xml:space="preserve">Le PTB dans d'autres langues, https://international.pvda-ptb.be/, https://www.pvda.be/nieuws/de-pvda-en-haar-internationale-activiteiten-een-overzicht </t>
  </si>
  <si>
    <t>Belgium FL</t>
  </si>
  <si>
    <t>Belgium NL</t>
  </si>
  <si>
    <t>CD&amp;V</t>
  </si>
  <si>
    <t>11/150</t>
  </si>
  <si>
    <t>Collaboration with and part of Europese Volkspartij (EVP).</t>
  </si>
  <si>
    <t>Groen</t>
  </si>
  <si>
    <t>6/150</t>
  </si>
  <si>
    <t>Part of European Greens, no branches, 22 members abroad,  info and appeals via social media and website towards potential voters abroad, https://www.groen.be/internationaal</t>
  </si>
  <si>
    <t>N-VA</t>
  </si>
  <si>
    <t>OVLD (Anders)</t>
  </si>
  <si>
    <t>Cooperation with ALDE and Liberal International https://liberal-international.org/members/open_vld_belgium/#:~:text=Open%20Vlaamse%20Liberalen%20en%20Democraten%20(Open%20Vld)%20%2D%20Liberal%20International.</t>
  </si>
  <si>
    <t>VB</t>
  </si>
  <si>
    <t>Vooruit</t>
  </si>
  <si>
    <t>13/150</t>
  </si>
  <si>
    <t>Austria</t>
  </si>
  <si>
    <t>FPÖ</t>
  </si>
  <si>
    <t>57/183</t>
  </si>
  <si>
    <r>
      <rPr>
        <rFont val="Calibri"/>
        <color rgb="FF000000"/>
        <sz val="11.0"/>
      </rPr>
      <t xml:space="preserve">No international infrastructure, </t>
    </r>
    <r>
      <rPr>
        <rFont val="Calibri"/>
        <i/>
        <color rgb="FF000000"/>
        <sz val="11.0"/>
      </rPr>
      <t>Freiheitliches Bildungsinstitut</t>
    </r>
    <r>
      <rPr>
        <rFont val="Calibri"/>
        <color rgb="FF000000"/>
        <sz val="11.0"/>
      </rPr>
      <t xml:space="preserve"> for political education (international cooperations but not specifically targeting Austrians abroad)</t>
    </r>
  </si>
  <si>
    <t>low</t>
  </si>
  <si>
    <t>Germany</t>
  </si>
  <si>
    <t>AfD</t>
  </si>
  <si>
    <t>83/630</t>
  </si>
  <si>
    <r>
      <rPr>
        <rFont val="Calibri"/>
        <color rgb="FF000000"/>
        <sz val="11.0"/>
      </rPr>
      <t xml:space="preserve">No international infrastructure; </t>
    </r>
    <r>
      <rPr>
        <rFont val="Calibri"/>
        <i/>
        <color rgb="FF000000"/>
        <sz val="11.0"/>
      </rPr>
      <t>Desiderius Erasmus Foundation</t>
    </r>
  </si>
  <si>
    <t>Die Linke</t>
  </si>
  <si>
    <t>39/630</t>
  </si>
  <si>
    <t>2/0</t>
  </si>
  <si>
    <t>Brussel’s office, Basisorganisation Ikaria, Greece, Rosa Luxemburg Foundation with 28 international offices, Member of the European Left</t>
  </si>
  <si>
    <t>high</t>
  </si>
  <si>
    <t>yes/1191/1. March 2023</t>
  </si>
  <si>
    <t>Indicators</t>
  </si>
  <si>
    <t>Physical transnational party infrastructure: Number of seats in national parliament, Website dedicated to party international (yes/no), International Organisation (yes/no), Number of party branches and/or contacts abroad (numerical), Size of membership abroad (numerical), Affiliated institute (yes/no)</t>
  </si>
  <si>
    <t xml:space="preserve">Organisational variations of physical transnational party infrastructure, Formalisation: (high/low): statuatory recognition (yes/no), registration of branches (formal/informal), membership status (official/unofficial), branches with institutionalised rules and procedures (yes/no), type of activities (regular/irregular). </t>
  </si>
  <si>
    <t>Organisational variations of physical transnational party infrastructure, Incorporation: (high/low): initiated at home or abroad (home/abroad), Controlled by home party (yes/no), ideological linkage (yes/no), formal rights within the national party (yes/no), influence over the party’s domestic policies (yes/no), financial support from national party (yes/no), delegate in the party’s national organisation (yes/no)</t>
  </si>
  <si>
    <t>Social media: Facebook, Instagram, Twitter/X, TikTok (yes/no,members,last post)</t>
  </si>
  <si>
    <t>Ranking</t>
  </si>
  <si>
    <t xml:space="preserve">Level of physical transnational party infrastructure: Parties with an international website/office and party branches/contacts abroad = high, international division or party branches or external contacts = medium. Without any organisational infrastructure = low. </t>
  </si>
  <si>
    <t>Level of formalisation: parties give statuatory recognition, have formally registered branches with official members, clear and institutionalised rules and regular actives for citizens living abroad = high. If any of these conditions are not met = low.</t>
  </si>
  <si>
    <t>Level of incorporation: if initaited and controlled by home party, ideological linkage, external members have formal rights, enjoy representation in the party’s national organisation and are given a say in determining the national party’s policies = high. If these conditions are not met = low. I do not include place of initiation, financial support and ideological linkage as a necessary condition for a high rating</t>
  </si>
  <si>
    <t>Level of social media: more than two dedicated social media channels for non-resident party members = high, with 1-2 channels = medium, no social media = low.</t>
  </si>
  <si>
    <t>Abbreviations</t>
  </si>
  <si>
    <t>n.a. = not applicable</t>
  </si>
  <si>
    <t>n.av. = information not available</t>
  </si>
  <si>
    <t>Ø&amp;C = Østergaard-Nielsen and Ciornei (2019)</t>
  </si>
  <si>
    <t>K&amp;vH = Kernalegenn &amp; van Haute (2020)</t>
  </si>
  <si>
    <t>R&amp;S = Rashkova &amp; van der Staak 2020)</t>
  </si>
  <si>
    <t>vH&amp;K =  van Haute &amp; Kernalegenn (2021)</t>
  </si>
  <si>
    <t>Social media follower numbers</t>
  </si>
  <si>
    <t xml:space="preserve">Switzerland and Netherlands: All social media follower numbers are from October 2025 </t>
  </si>
  <si>
    <t>Belgium: All social media follower numbers are from April 2026</t>
  </si>
  <si>
    <t>Parliamentary seats after election</t>
  </si>
  <si>
    <t>Dutch election: 29. October 2025</t>
  </si>
  <si>
    <t>Belgian federal election: 9. June 2024</t>
  </si>
  <si>
    <t xml:space="preserve">Swiss federal election: 22. Oktober 2023 </t>
  </si>
  <si>
    <t>Austrian legislative election: 29. October 2024</t>
  </si>
  <si>
    <t>German federal election: 23. February 2025</t>
  </si>
  <si>
    <t>Statutory recognition of party abroad/diaspora organisation</t>
  </si>
  <si>
    <t>Ideological Linkage</t>
  </si>
  <si>
    <t>Statutory (2) recognition of party abroad/diaspora organisation (Borz 2020, Soare 2024)</t>
  </si>
  <si>
    <t>Year</t>
  </si>
  <si>
    <t xml:space="preserve">Total word count internal regulations and/or statutes </t>
  </si>
  <si>
    <t>Total word count of 
diaspora/party abroad
related paragraphs</t>
  </si>
  <si>
    <t>Percentage of pragraph word count on internal regulations and/or statutes  word count</t>
  </si>
  <si>
    <t xml:space="preserve">No. of articles in internal regulations and/or statutes </t>
  </si>
  <si>
    <t>Total No. of articles diasproa/party abroad related</t>
  </si>
  <si>
    <t>Percentage of articles</t>
  </si>
  <si>
    <t>Ideological Linkage (emigrants addressed in party programme (3)) (Ø&amp;C)</t>
  </si>
  <si>
    <t>Total word count party programme</t>
  </si>
  <si>
    <t>Total word count of 
party abroad/diaspora
related paragraphs</t>
  </si>
  <si>
    <t>Percentage of pragraph word count on programme word count</t>
  </si>
  <si>
    <t xml:space="preserve">S 2023/ 7 HR 2024 </t>
  </si>
  <si>
    <t>S 2021 / HR 2021</t>
  </si>
  <si>
    <t>S 2019</t>
  </si>
  <si>
    <t>S 2024 / HR 2024</t>
  </si>
  <si>
    <t>S 2023 / HR 2023</t>
  </si>
  <si>
    <t>S 2023 / HR 2024</t>
  </si>
  <si>
    <t>S 2022 / HR 2023</t>
  </si>
  <si>
    <t>S 2022 / HR 2021</t>
  </si>
  <si>
    <t>S  2009</t>
  </si>
  <si>
    <t>S 2023</t>
  </si>
  <si>
    <t>S 2024 / HR 2025</t>
  </si>
  <si>
    <t>S 2025 / HR 2025</t>
  </si>
  <si>
    <t>GPS(1)</t>
  </si>
  <si>
    <t>2019 (4)</t>
  </si>
  <si>
    <t>(1) Election programme</t>
  </si>
  <si>
    <t>(2) Internal regulations (Huishoudelijk reglement, HR) and Statutes (Statuten, S)</t>
  </si>
  <si>
    <t>(3) For Dutch and Belgian parties election programme (Verkiezingsprogramma)</t>
  </si>
  <si>
    <t>(4) Election programm from 2019 becasue the one from 2024 is not available as PDF and in a concise form</t>
  </si>
  <si>
    <t>Social Media Accounts</t>
  </si>
  <si>
    <t>57,800</t>
  </si>
  <si>
    <t>5. Dec 2023</t>
  </si>
  <si>
    <t>25. Mar 2026</t>
  </si>
  <si>
    <t>16. Juin 2025</t>
  </si>
  <si>
    <t>243.000/129.840</t>
  </si>
  <si>
    <t>50.400/33.300</t>
  </si>
  <si>
    <t>31. March 2026/1. Apr 2026</t>
  </si>
  <si>
    <t>15.422/17.639</t>
  </si>
  <si>
    <t>11. Jan.2020/10 Okt. 2024</t>
  </si>
  <si>
    <t>5.502/2.943</t>
  </si>
  <si>
    <t>12. March 2026</t>
  </si>
  <si>
    <t>31. Mar 2026</t>
  </si>
  <si>
    <t>27. Mar 2026</t>
  </si>
  <si>
    <t>31. Mar. 2026</t>
  </si>
  <si>
    <t>Switzerland and Netherlands: accessed 28. Nov. 2025, Switzerland, only accounts in German</t>
  </si>
  <si>
    <t>Belgium accessed 1. April 2026</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</si>
</sst>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00"/>
  </numFmts>
  <fonts count="16">
    <font>
      <sz val="11.0"/>
      <color theme="1"/>
      <name val="Calibri"/>
      <scheme val="minor"/>
    </font>
    <font>
      <b/>
      <sz val="12.0"/>
      <color rgb="FF000000"/>
      <name val="Calibri"/>
    </font>
    <font/>
    <font>
      <sz val="11.0"/>
      <color theme="1"/>
      <name val="Calibri"/>
    </font>
    <font>
      <b/>
      <sz val="12.0"/>
      <color theme="1"/>
      <name val="Calibri"/>
    </font>
    <font>
      <sz val="10.0"/>
      <color rgb="FF000000"/>
      <name val="Calibri"/>
    </font>
    <font>
      <b/>
      <sz val="10.0"/>
      <color rgb="FF000000"/>
      <name val="Calibri"/>
    </font>
    <font>
      <b/>
      <sz val="11.0"/>
      <color rgb="FF000000"/>
      <name val="Calibri"/>
    </font>
    <font>
      <b/>
      <sz val="11.0"/>
      <color theme="1"/>
      <name val="Calibri"/>
    </font>
    <font>
      <color theme="1"/>
      <name val="Calibri"/>
      <scheme val="minor"/>
    </font>
    <font>
      <b/>
      <sz val="10.0"/>
      <color theme="1"/>
      <name val="Calibri"/>
    </font>
    <font>
      <u/>
      <sz val="11.0"/>
      <color theme="10"/>
      <name val="Calibri"/>
    </font>
    <font>
      <sz val="11.0"/>
      <color rgb="FF000000"/>
      <name val="Calibri"/>
    </font>
    <font>
      <sz val="11.0"/>
      <color rgb="FF202122"/>
      <name val="Calibri"/>
    </font>
    <font>
      <sz val="11.0"/>
      <color theme="1"/>
      <name val="Times New Roman"/>
    </font>
    <font>
      <sz val="10.0"/>
      <color theme="1"/>
      <name val="Calibri"/>
    </font>
  </fonts>
  <fills count="5">
    <fill>
      <patternFill patternType="none"/>
    </fill>
    <fill>
      <patternFill patternType="lightGray"/>
    </fill>
    <fill>
      <patternFill patternType="solid">
        <fgColor rgb="FFE7E6E6"/>
        <bgColor rgb="FFE7E6E6"/>
      </patternFill>
    </fill>
    <fill>
      <patternFill patternType="solid">
        <fgColor rgb="FFD0CECE"/>
        <bgColor rgb="FFD0CECE"/>
      </patternFill>
    </fill>
    <fill>
      <patternFill patternType="solid">
        <fgColor rgb="FFAEABAB"/>
        <bgColor rgb="FFAEABAB"/>
      </patternFill>
    </fill>
  </fills>
  <borders count="32">
    <border/>
    <border>
      <left style="medium">
        <color rgb="FF000000"/>
      </left>
      <top style="medium">
        <color rgb="FF000000"/>
      </top>
      <bottom style="medium">
        <color rgb="FF000000"/>
      </bottom>
    </border>
    <border>
      <top style="medium">
        <color rgb="FF000000"/>
      </top>
      <bottom style="medium">
        <color rgb="FF000000"/>
      </bottom>
    </border>
    <border>
      <top style="medium">
        <color rgb="FF000000"/>
      </top>
    </border>
    <border>
      <right style="medium">
        <color rgb="FF000000"/>
      </right>
      <top style="medium">
        <color rgb="FF000000"/>
      </top>
    </border>
    <border>
      <left style="medium">
        <color rgb="FF000000"/>
      </left>
      <right style="medium">
        <color rgb="FF000000"/>
      </right>
      <top style="medium">
        <color rgb="FF000000"/>
      </top>
      <bottom/>
    </border>
    <border>
      <left/>
      <right style="medium">
        <color rgb="FF000000"/>
      </right>
      <top style="medium">
        <color rgb="FF000000"/>
      </top>
      <bottom/>
    </border>
    <border>
      <left style="medium">
        <color rgb="FF000000"/>
      </left>
      <right style="medium">
        <color rgb="FF000000"/>
      </right>
      <top style="medium">
        <color rgb="FF000000"/>
      </top>
      <bottom style="medium">
        <color rgb="FF000000"/>
      </bottom>
    </border>
    <border>
      <left/>
      <right style="medium">
        <color rgb="FF000000"/>
      </right>
      <top style="medium">
        <color rgb="FF000000"/>
      </top>
      <bottom style="medium">
        <color rgb="FF000000"/>
      </bottom>
    </border>
    <border>
      <left/>
      <right/>
      <top/>
      <bottom/>
    </border>
    <border>
      <left style="medium">
        <color rgb="FF000000"/>
      </left>
      <right/>
      <top style="medium">
        <color rgb="FF000000"/>
      </top>
      <bottom/>
    </border>
    <border>
      <left/>
      <right/>
      <top style="medium">
        <color rgb="FF000000"/>
      </top>
      <bottom/>
    </border>
    <border>
      <left style="medium">
        <color rgb="FF000000"/>
      </left>
      <right/>
      <top style="medium">
        <color rgb="FF000000"/>
      </top>
      <bottom style="medium">
        <color rgb="FF000000"/>
      </bottom>
    </border>
    <border>
      <left/>
      <right/>
      <top style="medium">
        <color rgb="FF000000"/>
      </top>
      <bottom style="medium">
        <color rgb="FF000000"/>
      </bottom>
    </border>
    <border>
      <left style="medium">
        <color rgb="FF000000"/>
      </left>
      <top style="medium">
        <color rgb="FF000000"/>
      </top>
    </border>
    <border>
      <left style="medium">
        <color rgb="FF000000"/>
      </left>
    </border>
    <border>
      <left style="medium">
        <color rgb="FF000000"/>
      </left>
      <right style="medium">
        <color rgb="FF000000"/>
      </right>
      <top style="medium">
        <color rgb="FF000000"/>
      </top>
    </border>
    <border>
      <right style="medium">
        <color rgb="FF000000"/>
      </right>
    </border>
    <border>
      <left style="medium">
        <color rgb="FF000000"/>
      </left>
      <right style="medium">
        <color rgb="FF000000"/>
      </right>
    </border>
    <border>
      <left style="medium">
        <color rgb="FF000000"/>
      </left>
      <bottom style="medium">
        <color rgb="FF000000"/>
      </bottom>
    </border>
    <border>
      <bottom style="medium">
        <color rgb="FF000000"/>
      </bottom>
    </border>
    <border>
      <right style="medium">
        <color rgb="FF000000"/>
      </right>
      <bottom style="medium">
        <color rgb="FF000000"/>
      </bottom>
    </border>
    <border>
      <left style="medium">
        <color rgb="FF000000"/>
      </left>
      <right style="medium">
        <color rgb="FF000000"/>
      </right>
      <bottom style="medium">
        <color rgb="FF000000"/>
      </bottom>
    </border>
    <border>
      <right/>
      <top style="medium">
        <color rgb="FF000000"/>
      </top>
      <bottom style="medium">
        <color rgb="FF000000"/>
      </bottom>
    </border>
    <border>
      <right style="medium">
        <color rgb="FF000000"/>
      </right>
      <top style="medium">
        <color rgb="FF000000"/>
      </top>
      <bottom style="medium">
        <color rgb="FF000000"/>
      </bottom>
    </border>
    <border>
      <left style="medium">
        <color rgb="FF000000"/>
      </left>
      <right style="thin">
        <color rgb="FF000000"/>
      </right>
      <top style="medium">
        <color rgb="FF000000"/>
      </top>
      <bottom style="medium">
        <color rgb="FF000000"/>
      </bottom>
    </border>
    <border>
      <left/>
      <right style="thin">
        <color rgb="FF000000"/>
      </right>
      <top style="medium">
        <color rgb="FF000000"/>
      </top>
      <bottom style="medium">
        <color rgb="FF000000"/>
      </bottom>
    </border>
    <border>
      <left style="thin">
        <color rgb="FF000000"/>
      </left>
      <right style="thin">
        <color rgb="FF000000"/>
      </right>
      <top style="medium">
        <color rgb="FF000000"/>
      </top>
      <bottom style="medium">
        <color rgb="FF000000"/>
      </bottom>
    </border>
    <border>
      <left style="thin">
        <color rgb="FF000000"/>
      </left>
      <right style="medium">
        <color rgb="FF000000"/>
      </right>
      <top style="medium">
        <color rgb="FF000000"/>
      </top>
      <bottom style="medium">
        <color rgb="FF000000"/>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s>
  <cellStyleXfs count="1">
    <xf borderId="0" fillId="0" fontId="0" numFmtId="0" applyAlignment="1" applyFont="1"/>
  </cellStyleXfs>
  <cellXfs count="152">
    <xf borderId="0" fillId="0" fontId="0" numFmtId="0" xfId="0" applyAlignment="1" applyFont="1">
      <alignment readingOrder="0" shrinkToFit="0" vertical="bottom" wrapText="0"/>
    </xf>
    <xf borderId="1" fillId="0" fontId="1" numFmtId="0" xfId="0" applyAlignment="1" applyBorder="1" applyFont="1">
      <alignment horizontal="center" vertical="center"/>
    </xf>
    <xf borderId="2" fillId="0" fontId="2" numFmtId="0" xfId="0" applyBorder="1" applyFont="1"/>
    <xf borderId="3" fillId="0" fontId="3" numFmtId="0" xfId="0" applyBorder="1" applyFont="1"/>
    <xf borderId="3" fillId="0" fontId="4" numFmtId="0" xfId="0" applyAlignment="1" applyBorder="1" applyFont="1">
      <alignment horizontal="center" vertical="center"/>
    </xf>
    <xf borderId="3" fillId="0" fontId="4" numFmtId="0" xfId="0" applyAlignment="1" applyBorder="1" applyFont="1">
      <alignment vertical="center"/>
    </xf>
    <xf borderId="4" fillId="0" fontId="3" numFmtId="0" xfId="0" applyBorder="1" applyFont="1"/>
    <xf borderId="0" fillId="0" fontId="4" numFmtId="0" xfId="0" applyFont="1"/>
    <xf borderId="5" fillId="2" fontId="5" numFmtId="0" xfId="0" applyAlignment="1" applyBorder="1" applyFill="1" applyFont="1">
      <alignment horizontal="center" shrinkToFit="0" vertical="center" wrapText="1"/>
    </xf>
    <xf borderId="6" fillId="2" fontId="5" numFmtId="0" xfId="0" applyAlignment="1" applyBorder="1" applyFont="1">
      <alignment horizontal="center" shrinkToFit="0" vertical="center" wrapText="1"/>
    </xf>
    <xf borderId="6" fillId="2" fontId="6" numFmtId="0" xfId="0" applyAlignment="1" applyBorder="1" applyFont="1">
      <alignment horizontal="center" shrinkToFit="0" vertical="center" wrapText="1"/>
    </xf>
    <xf borderId="0" fillId="0" fontId="3" numFmtId="0" xfId="0" applyAlignment="1" applyFont="1">
      <alignment horizontal="center"/>
    </xf>
    <xf borderId="7" fillId="2" fontId="5" numFmtId="0" xfId="0" applyAlignment="1" applyBorder="1" applyFont="1">
      <alignment horizontal="center" shrinkToFit="0" vertical="center" wrapText="1"/>
    </xf>
    <xf borderId="8" fillId="2" fontId="5" numFmtId="0" xfId="0" applyAlignment="1" applyBorder="1" applyFont="1">
      <alignment horizontal="center" shrinkToFit="0" vertical="center" wrapText="1"/>
    </xf>
    <xf borderId="6" fillId="3" fontId="5" numFmtId="0" xfId="0" applyAlignment="1" applyBorder="1" applyFill="1" applyFont="1">
      <alignment horizontal="center" shrinkToFit="0" vertical="center" wrapText="1"/>
    </xf>
    <xf borderId="5" fillId="2" fontId="6" numFmtId="0" xfId="0" applyAlignment="1" applyBorder="1" applyFont="1">
      <alignment horizontal="center" shrinkToFit="0" vertical="center" wrapText="1"/>
    </xf>
    <xf borderId="9" fillId="2" fontId="5" numFmtId="0" xfId="0" applyAlignment="1" applyBorder="1" applyFont="1">
      <alignment shrinkToFit="0" vertical="center" wrapText="1"/>
    </xf>
    <xf borderId="10" fillId="4" fontId="7" numFmtId="0" xfId="0" applyAlignment="1" applyBorder="1" applyFill="1" applyFont="1">
      <alignment vertical="center"/>
    </xf>
    <xf borderId="11" fillId="4" fontId="7" numFmtId="0" xfId="0" applyAlignment="1" applyBorder="1" applyFont="1">
      <alignment vertical="center"/>
    </xf>
    <xf borderId="11" fillId="4" fontId="7" numFmtId="0" xfId="0" applyAlignment="1" applyBorder="1" applyFont="1">
      <alignment shrinkToFit="0" vertical="center" wrapText="1"/>
    </xf>
    <xf borderId="11" fillId="4" fontId="8" numFmtId="0" xfId="0" applyAlignment="1" applyBorder="1" applyFont="1">
      <alignment shrinkToFit="0" vertical="center" wrapText="1"/>
    </xf>
    <xf borderId="6" fillId="4" fontId="8" numFmtId="0" xfId="0" applyAlignment="1" applyBorder="1" applyFont="1">
      <alignment shrinkToFit="0" vertical="center" wrapText="1"/>
    </xf>
    <xf borderId="0" fillId="0" fontId="9" numFmtId="0" xfId="0" applyFont="1"/>
    <xf borderId="10" fillId="4" fontId="6" numFmtId="0" xfId="0" applyAlignment="1" applyBorder="1" applyFont="1">
      <alignment shrinkToFit="0" vertical="center" wrapText="1"/>
    </xf>
    <xf borderId="6" fillId="4" fontId="6" numFmtId="0" xfId="0" applyAlignment="1" applyBorder="1" applyFont="1">
      <alignment shrinkToFit="0" vertical="center" wrapText="1"/>
    </xf>
    <xf borderId="12" fillId="4" fontId="6" numFmtId="0" xfId="0" applyAlignment="1" applyBorder="1" applyFont="1">
      <alignment vertical="center"/>
    </xf>
    <xf borderId="13" fillId="4" fontId="6" numFmtId="0" xfId="0" applyAlignment="1" applyBorder="1" applyFont="1">
      <alignment vertical="center"/>
    </xf>
    <xf borderId="13" fillId="4" fontId="6" numFmtId="0" xfId="0" applyAlignment="1" applyBorder="1" applyFont="1">
      <alignment shrinkToFit="0" vertical="center" wrapText="1"/>
    </xf>
    <xf borderId="13" fillId="4" fontId="10" numFmtId="0" xfId="0" applyAlignment="1" applyBorder="1" applyFont="1">
      <alignment shrinkToFit="0" vertical="center" wrapText="1"/>
    </xf>
    <xf borderId="8" fillId="4" fontId="10" numFmtId="0" xfId="0" applyAlignment="1" applyBorder="1" applyFont="1">
      <alignment shrinkToFit="0" vertical="center" wrapText="1"/>
    </xf>
    <xf borderId="12" fillId="4" fontId="8" numFmtId="0" xfId="0" applyBorder="1" applyFont="1"/>
    <xf borderId="13" fillId="4" fontId="3" numFmtId="0" xfId="0" applyBorder="1" applyFont="1"/>
    <xf borderId="8" fillId="4" fontId="3" numFmtId="0" xfId="0" applyBorder="1" applyFont="1"/>
    <xf borderId="14" fillId="0" fontId="3" numFmtId="0" xfId="0" applyBorder="1" applyFont="1"/>
    <xf borderId="4" fillId="0" fontId="8" numFmtId="0" xfId="0" applyBorder="1" applyFont="1"/>
    <xf borderId="4" fillId="0" fontId="3" numFmtId="0" xfId="0" applyAlignment="1" applyBorder="1" applyFont="1">
      <alignment horizontal="center"/>
    </xf>
    <xf borderId="15" fillId="0" fontId="3" numFmtId="0" xfId="0" applyBorder="1" applyFont="1"/>
    <xf borderId="16" fillId="0" fontId="8" numFmtId="0" xfId="0" applyBorder="1" applyFont="1"/>
    <xf borderId="17" fillId="0" fontId="3" numFmtId="0" xfId="0" applyBorder="1" applyFont="1"/>
    <xf borderId="18" fillId="0" fontId="8" numFmtId="0" xfId="0" applyBorder="1" applyFont="1"/>
    <xf borderId="0" fillId="0" fontId="11" numFmtId="0" xfId="0" applyFont="1"/>
    <xf borderId="17" fillId="0" fontId="8" numFmtId="0" xfId="0" applyBorder="1" applyFont="1"/>
    <xf borderId="17" fillId="0" fontId="3" numFmtId="0" xfId="0" applyAlignment="1" applyBorder="1" applyFont="1">
      <alignment horizontal="center"/>
    </xf>
    <xf borderId="0" fillId="0" fontId="3" numFmtId="0" xfId="0" applyAlignment="1" applyFont="1">
      <alignment shrinkToFit="0" vertical="center" wrapText="1"/>
    </xf>
    <xf borderId="18" fillId="0" fontId="8" numFmtId="0" xfId="0" applyAlignment="1" applyBorder="1" applyFont="1">
      <alignment shrinkToFit="0" vertical="center" wrapText="1"/>
    </xf>
    <xf borderId="0" fillId="0" fontId="3" numFmtId="17" xfId="0" applyFont="1" applyNumberFormat="1"/>
    <xf borderId="19" fillId="0" fontId="3" numFmtId="0" xfId="0" applyBorder="1" applyFont="1"/>
    <xf borderId="20" fillId="0" fontId="3" numFmtId="0" xfId="0" applyBorder="1" applyFont="1"/>
    <xf borderId="21" fillId="0" fontId="8" numFmtId="0" xfId="0" applyBorder="1" applyFont="1"/>
    <xf borderId="21" fillId="0" fontId="3" numFmtId="0" xfId="0" applyAlignment="1" applyBorder="1" applyFont="1">
      <alignment horizontal="center"/>
    </xf>
    <xf borderId="22" fillId="0" fontId="8" numFmtId="0" xfId="0" applyBorder="1" applyFont="1"/>
    <xf borderId="21" fillId="0" fontId="3" numFmtId="0" xfId="0" applyBorder="1" applyFont="1"/>
    <xf borderId="1" fillId="4" fontId="7" numFmtId="0" xfId="0" applyAlignment="1" applyBorder="1" applyFont="1">
      <alignment shrinkToFit="0" vertical="center" wrapText="1"/>
    </xf>
    <xf borderId="23" fillId="0" fontId="2" numFmtId="0" xfId="0" applyBorder="1" applyFont="1"/>
    <xf borderId="13" fillId="4" fontId="8" numFmtId="0" xfId="0" applyAlignment="1" applyBorder="1" applyFont="1">
      <alignment shrinkToFit="0" vertical="center" wrapText="1"/>
    </xf>
    <xf borderId="8" fillId="4" fontId="8" numFmtId="0" xfId="0" applyAlignment="1" applyBorder="1" applyFont="1">
      <alignment shrinkToFit="0" vertical="center" wrapText="1"/>
    </xf>
    <xf borderId="12" fillId="4" fontId="7" numFmtId="0" xfId="0" applyAlignment="1" applyBorder="1" applyFont="1">
      <alignment shrinkToFit="0" vertical="center" wrapText="1"/>
    </xf>
    <xf borderId="8" fillId="4" fontId="7" numFmtId="0" xfId="0" applyAlignment="1" applyBorder="1" applyFont="1">
      <alignment shrinkToFit="0" vertical="center" wrapText="1"/>
    </xf>
    <xf borderId="0" fillId="0" fontId="7" numFmtId="0" xfId="0" applyAlignment="1" applyFont="1">
      <alignment shrinkToFit="0" vertical="center" wrapText="1"/>
    </xf>
    <xf borderId="24" fillId="0" fontId="2" numFmtId="0" xfId="0" applyBorder="1" applyFont="1"/>
    <xf borderId="14" fillId="0" fontId="3" numFmtId="0" xfId="0" applyAlignment="1" applyBorder="1" applyFont="1">
      <alignment shrinkToFit="0" vertical="center" wrapText="1"/>
    </xf>
    <xf borderId="3" fillId="0" fontId="3" numFmtId="0" xfId="0" applyAlignment="1" applyBorder="1" applyFont="1">
      <alignment shrinkToFit="0" vertical="center" wrapText="1"/>
    </xf>
    <xf borderId="3" fillId="0" fontId="3" numFmtId="0" xfId="0" applyAlignment="1" applyBorder="1" applyFont="1">
      <alignment vertical="center"/>
    </xf>
    <xf borderId="3" fillId="0" fontId="3" numFmtId="16" xfId="0" applyBorder="1" applyFont="1" applyNumberFormat="1"/>
    <xf borderId="4" fillId="0" fontId="7" numFmtId="0" xfId="0" applyAlignment="1" applyBorder="1" applyFont="1">
      <alignment shrinkToFit="0" vertical="center" wrapText="1"/>
    </xf>
    <xf borderId="4" fillId="0" fontId="12" numFmtId="0" xfId="0" applyAlignment="1" applyBorder="1" applyFont="1">
      <alignment horizontal="center" vertical="center"/>
    </xf>
    <xf borderId="0" fillId="0" fontId="3" numFmtId="16" xfId="0" applyFont="1" applyNumberFormat="1"/>
    <xf borderId="4" fillId="0" fontId="3" numFmtId="0" xfId="0" applyAlignment="1" applyBorder="1" applyFont="1">
      <alignment shrinkToFit="0" vertical="center" wrapText="1"/>
    </xf>
    <xf borderId="3" fillId="0" fontId="3" numFmtId="0" xfId="0" applyAlignment="1" applyBorder="1" applyFont="1">
      <alignment horizontal="center" vertical="center"/>
    </xf>
    <xf borderId="0" fillId="0" fontId="3" numFmtId="0" xfId="0" applyAlignment="1" applyFont="1">
      <alignment vertical="center"/>
    </xf>
    <xf borderId="15" fillId="0" fontId="3" numFmtId="0" xfId="0" applyAlignment="1" applyBorder="1" applyFont="1">
      <alignment shrinkToFit="0" vertical="center" wrapText="1"/>
    </xf>
    <xf borderId="17" fillId="0" fontId="7" numFmtId="0" xfId="0" applyAlignment="1" applyBorder="1" applyFont="1">
      <alignment shrinkToFit="0" vertical="center" wrapText="1"/>
    </xf>
    <xf borderId="17" fillId="0" fontId="12" numFmtId="0" xfId="0" applyAlignment="1" applyBorder="1" applyFont="1">
      <alignment horizontal="center" vertical="center"/>
    </xf>
    <xf borderId="17" fillId="0" fontId="3" numFmtId="0" xfId="0" applyAlignment="1" applyBorder="1" applyFont="1">
      <alignment shrinkToFit="0" vertical="center" wrapText="1"/>
    </xf>
    <xf borderId="0" fillId="0" fontId="3" numFmtId="0" xfId="0" applyAlignment="1" applyFont="1">
      <alignment horizontal="center" shrinkToFit="0" vertical="center" wrapText="1"/>
    </xf>
    <xf borderId="15" fillId="0" fontId="13" numFmtId="0" xfId="0" applyAlignment="1" applyBorder="1" applyFont="1">
      <alignment shrinkToFit="0" vertical="center" wrapText="1"/>
    </xf>
    <xf borderId="0" fillId="0" fontId="13" numFmtId="0" xfId="0" applyAlignment="1" applyFont="1">
      <alignment shrinkToFit="0" vertical="center" wrapText="1"/>
    </xf>
    <xf borderId="0" fillId="0" fontId="13" numFmtId="0" xfId="0" applyAlignment="1" applyFont="1">
      <alignment vertical="center"/>
    </xf>
    <xf borderId="0" fillId="0" fontId="3" numFmtId="17" xfId="0" applyAlignment="1" applyFont="1" applyNumberFormat="1">
      <alignment shrinkToFit="0" vertical="center" wrapText="1"/>
    </xf>
    <xf borderId="19" fillId="0" fontId="13" numFmtId="0" xfId="0" applyAlignment="1" applyBorder="1" applyFont="1">
      <alignment shrinkToFit="0" vertical="center" wrapText="1"/>
    </xf>
    <xf borderId="20" fillId="0" fontId="13" numFmtId="0" xfId="0" applyAlignment="1" applyBorder="1" applyFont="1">
      <alignment shrinkToFit="0" vertical="center" wrapText="1"/>
    </xf>
    <xf borderId="20" fillId="0" fontId="13" numFmtId="0" xfId="0" applyAlignment="1" applyBorder="1" applyFont="1">
      <alignment vertical="center"/>
    </xf>
    <xf borderId="20" fillId="0" fontId="3" numFmtId="0" xfId="0" applyAlignment="1" applyBorder="1" applyFont="1">
      <alignment shrinkToFit="0" vertical="center" wrapText="1"/>
    </xf>
    <xf borderId="21" fillId="0" fontId="7" numFmtId="0" xfId="0" applyAlignment="1" applyBorder="1" applyFont="1">
      <alignment shrinkToFit="0" vertical="center" wrapText="1"/>
    </xf>
    <xf borderId="21" fillId="0" fontId="12" numFmtId="0" xfId="0" applyAlignment="1" applyBorder="1" applyFont="1">
      <alignment horizontal="center" vertical="center"/>
    </xf>
    <xf borderId="12" fillId="4" fontId="6" numFmtId="0" xfId="0" applyAlignment="1" applyBorder="1" applyFont="1">
      <alignment shrinkToFit="0" vertical="center" wrapText="1"/>
    </xf>
    <xf borderId="8" fillId="4" fontId="6" numFmtId="0" xfId="0" applyAlignment="1" applyBorder="1" applyFont="1">
      <alignment horizontal="center" shrinkToFit="0" vertical="center" wrapText="1"/>
    </xf>
    <xf borderId="17" fillId="0" fontId="3" numFmtId="0" xfId="0" applyAlignment="1" applyBorder="1" applyFont="1">
      <alignment horizontal="center" vertical="center"/>
    </xf>
    <xf borderId="13" fillId="4" fontId="7" numFmtId="0" xfId="0" applyAlignment="1" applyBorder="1" applyFont="1">
      <alignment vertical="center"/>
    </xf>
    <xf borderId="13" fillId="4" fontId="7" numFmtId="0" xfId="0" applyAlignment="1" applyBorder="1" applyFont="1">
      <alignment shrinkToFit="0" vertical="center" wrapText="1"/>
    </xf>
    <xf borderId="21" fillId="0" fontId="12" numFmtId="0" xfId="0" applyAlignment="1" applyBorder="1" applyFont="1">
      <alignment horizontal="center"/>
    </xf>
    <xf borderId="20" fillId="0" fontId="7" numFmtId="0" xfId="0" applyAlignment="1" applyBorder="1" applyFont="1">
      <alignment shrinkToFit="0" vertical="center" wrapText="1"/>
    </xf>
    <xf borderId="17" fillId="0" fontId="12" numFmtId="0" xfId="0" applyAlignment="1" applyBorder="1" applyFont="1">
      <alignment horizontal="center"/>
    </xf>
    <xf borderId="0" fillId="0" fontId="8" numFmtId="0" xfId="0" applyFont="1"/>
    <xf borderId="0" fillId="0" fontId="14" numFmtId="0" xfId="0" applyFont="1"/>
    <xf borderId="12" fillId="2" fontId="3" numFmtId="0" xfId="0" applyAlignment="1" applyBorder="1" applyFont="1">
      <alignment horizontal="center" vertical="center"/>
    </xf>
    <xf borderId="25" fillId="2" fontId="5" numFmtId="0" xfId="0" applyAlignment="1" applyBorder="1" applyFont="1">
      <alignment horizontal="center" shrinkToFit="0" vertical="center" wrapText="1"/>
    </xf>
    <xf borderId="26" fillId="2" fontId="5" numFmtId="0" xfId="0" applyAlignment="1" applyBorder="1" applyFont="1">
      <alignment horizontal="center" shrinkToFit="0" vertical="center" wrapText="1"/>
    </xf>
    <xf borderId="27" fillId="2" fontId="15" numFmtId="0" xfId="0" applyAlignment="1" applyBorder="1" applyFont="1">
      <alignment horizontal="center" shrinkToFit="0" vertical="center" wrapText="1"/>
    </xf>
    <xf borderId="28" fillId="2" fontId="15" numFmtId="0" xfId="0" applyAlignment="1" applyBorder="1" applyFont="1">
      <alignment horizontal="center" shrinkToFit="0" vertical="center" wrapText="1"/>
    </xf>
    <xf borderId="0" fillId="0" fontId="3" numFmtId="0" xfId="0" applyAlignment="1" applyFont="1">
      <alignment horizontal="center" vertical="center"/>
    </xf>
    <xf borderId="7" fillId="2" fontId="3" numFmtId="0" xfId="0" applyAlignment="1" applyBorder="1" applyFont="1">
      <alignment horizontal="center" vertical="center"/>
    </xf>
    <xf borderId="27" fillId="2" fontId="5" numFmtId="0" xfId="0" applyAlignment="1" applyBorder="1" applyFont="1">
      <alignment horizontal="center" shrinkToFit="0" vertical="center" wrapText="1"/>
    </xf>
    <xf borderId="10" fillId="4" fontId="6" numFmtId="0" xfId="0" applyAlignment="1" applyBorder="1" applyFont="1">
      <alignment vertical="center"/>
    </xf>
    <xf borderId="11" fillId="4" fontId="6" numFmtId="0" xfId="0" applyAlignment="1" applyBorder="1" applyFont="1">
      <alignment vertical="center"/>
    </xf>
    <xf borderId="11" fillId="4" fontId="6" numFmtId="0" xfId="0" applyAlignment="1" applyBorder="1" applyFont="1">
      <alignment shrinkToFit="0" vertical="center" wrapText="1"/>
    </xf>
    <xf borderId="11" fillId="4" fontId="10" numFmtId="0" xfId="0" applyAlignment="1" applyBorder="1" applyFont="1">
      <alignment shrinkToFit="0" vertical="center" wrapText="1"/>
    </xf>
    <xf borderId="6" fillId="4" fontId="10" numFmtId="0" xfId="0" applyAlignment="1" applyBorder="1" applyFont="1">
      <alignment shrinkToFit="0" vertical="center" wrapText="1"/>
    </xf>
    <xf borderId="29" fillId="4" fontId="6" numFmtId="0" xfId="0" applyAlignment="1" applyBorder="1" applyFont="1">
      <alignment vertical="center"/>
    </xf>
    <xf borderId="30" fillId="4" fontId="6" numFmtId="0" xfId="0" applyAlignment="1" applyBorder="1" applyFont="1">
      <alignment vertical="center"/>
    </xf>
    <xf borderId="30" fillId="4" fontId="6" numFmtId="0" xfId="0" applyAlignment="1" applyBorder="1" applyFont="1">
      <alignment shrinkToFit="0" vertical="center" wrapText="1"/>
    </xf>
    <xf borderId="31" fillId="4" fontId="6" numFmtId="0" xfId="0" applyAlignment="1" applyBorder="1" applyFont="1">
      <alignment shrinkToFit="0" vertical="center" wrapText="1"/>
    </xf>
    <xf borderId="3" fillId="0" fontId="3" numFmtId="2" xfId="0" applyBorder="1" applyFont="1" applyNumberFormat="1"/>
    <xf borderId="4" fillId="0" fontId="3" numFmtId="2" xfId="0" applyBorder="1" applyFont="1" applyNumberFormat="1"/>
    <xf borderId="0" fillId="0" fontId="3" numFmtId="2" xfId="0" applyFont="1" applyNumberFormat="1"/>
    <xf borderId="17" fillId="0" fontId="3" numFmtId="2" xfId="0" applyBorder="1" applyFont="1" applyNumberFormat="1"/>
    <xf borderId="20" fillId="0" fontId="3" numFmtId="2" xfId="0" applyBorder="1" applyFont="1" applyNumberFormat="1"/>
    <xf borderId="21" fillId="0" fontId="3" numFmtId="2" xfId="0" applyBorder="1" applyFont="1" applyNumberFormat="1"/>
    <xf borderId="8" fillId="4" fontId="6" numFmtId="0" xfId="0" applyAlignment="1" applyBorder="1" applyFont="1">
      <alignment shrinkToFit="0" vertical="center" wrapText="1"/>
    </xf>
    <xf borderId="15" fillId="0" fontId="15" numFmtId="0" xfId="0" applyAlignment="1" applyBorder="1" applyFont="1">
      <alignment shrinkToFit="0" vertical="center" wrapText="1"/>
    </xf>
    <xf borderId="0" fillId="0" fontId="4" numFmtId="0" xfId="0" applyAlignment="1" applyFont="1">
      <alignment horizontal="left" vertical="center"/>
    </xf>
    <xf borderId="7" fillId="3" fontId="5" numFmtId="0" xfId="0" applyAlignment="1" applyBorder="1" applyFont="1">
      <alignment horizontal="center" shrinkToFit="0" vertical="center" wrapText="1"/>
    </xf>
    <xf borderId="1" fillId="3" fontId="5" numFmtId="0" xfId="0" applyAlignment="1" applyBorder="1" applyFont="1">
      <alignment horizontal="center" shrinkToFit="0" vertical="center" wrapText="1"/>
    </xf>
    <xf borderId="14" fillId="0" fontId="3" numFmtId="0" xfId="0" applyAlignment="1" applyBorder="1" applyFont="1">
      <alignment horizontal="center"/>
    </xf>
    <xf borderId="3" fillId="0" fontId="3" numFmtId="0" xfId="0" applyAlignment="1" applyBorder="1" applyFont="1">
      <alignment horizontal="center"/>
    </xf>
    <xf borderId="4" fillId="0" fontId="3" numFmtId="15" xfId="0" applyAlignment="1" applyBorder="1" applyFont="1" applyNumberFormat="1">
      <alignment horizontal="center"/>
    </xf>
    <xf borderId="3" fillId="0" fontId="3" numFmtId="164" xfId="0" applyAlignment="1" applyBorder="1" applyFont="1" applyNumberFormat="1">
      <alignment horizontal="center"/>
    </xf>
    <xf borderId="15" fillId="0" fontId="3" numFmtId="0" xfId="0" applyAlignment="1" applyBorder="1" applyFont="1">
      <alignment horizontal="center"/>
    </xf>
    <xf borderId="17" fillId="0" fontId="3" numFmtId="15" xfId="0" applyAlignment="1" applyBorder="1" applyFont="1" applyNumberFormat="1">
      <alignment horizontal="center"/>
    </xf>
    <xf borderId="0" fillId="0" fontId="3" numFmtId="164" xfId="0" applyAlignment="1" applyFont="1" applyNumberFormat="1">
      <alignment horizontal="center"/>
    </xf>
    <xf borderId="19" fillId="0" fontId="3" numFmtId="0" xfId="0" applyAlignment="1" applyBorder="1" applyFont="1">
      <alignment horizontal="center"/>
    </xf>
    <xf borderId="20" fillId="0" fontId="3" numFmtId="0" xfId="0" applyAlignment="1" applyBorder="1" applyFont="1">
      <alignment horizontal="center"/>
    </xf>
    <xf borderId="21" fillId="0" fontId="3" numFmtId="15" xfId="0" applyAlignment="1" applyBorder="1" applyFont="1" applyNumberFormat="1">
      <alignment horizontal="center"/>
    </xf>
    <xf borderId="20" fillId="0" fontId="3" numFmtId="164" xfId="0" applyAlignment="1" applyBorder="1" applyFont="1" applyNumberFormat="1">
      <alignment horizontal="center"/>
    </xf>
    <xf borderId="13" fillId="4" fontId="3" numFmtId="0" xfId="0" applyAlignment="1" applyBorder="1" applyFont="1">
      <alignment horizontal="center"/>
    </xf>
    <xf borderId="14" fillId="0" fontId="3" numFmtId="0" xfId="0" applyAlignment="1" applyBorder="1" applyFont="1">
      <alignment horizontal="center" vertical="center"/>
    </xf>
    <xf borderId="3" fillId="0" fontId="3" numFmtId="164" xfId="0" applyAlignment="1" applyBorder="1" applyFont="1" applyNumberFormat="1">
      <alignment horizontal="center" vertical="center"/>
    </xf>
    <xf borderId="15" fillId="0" fontId="3" numFmtId="0" xfId="0" applyAlignment="1" applyBorder="1" applyFont="1">
      <alignment horizontal="center" shrinkToFit="0" vertical="center" wrapText="1"/>
    </xf>
    <xf borderId="0" fillId="0" fontId="3" numFmtId="164" xfId="0" applyAlignment="1" applyFont="1" applyNumberFormat="1">
      <alignment horizontal="center" shrinkToFit="0" vertical="center" wrapText="1"/>
    </xf>
    <xf borderId="4" fillId="0" fontId="3" numFmtId="15" xfId="0" applyAlignment="1" applyBorder="1" applyFont="1" applyNumberFormat="1">
      <alignment horizontal="center" vertical="center"/>
    </xf>
    <xf borderId="4" fillId="0" fontId="3" numFmtId="0" xfId="0" applyAlignment="1" applyBorder="1" applyFont="1">
      <alignment horizontal="center" vertical="center"/>
    </xf>
    <xf borderId="0" fillId="0" fontId="3" numFmtId="164" xfId="0" applyAlignment="1" applyFont="1" applyNumberFormat="1">
      <alignment horizontal="center" vertical="center"/>
    </xf>
    <xf borderId="17" fillId="0" fontId="3" numFmtId="15" xfId="0" applyAlignment="1" applyBorder="1" applyFont="1" applyNumberFormat="1">
      <alignment horizontal="center" vertical="center"/>
    </xf>
    <xf borderId="15" fillId="0" fontId="3" numFmtId="0" xfId="0" applyAlignment="1" applyBorder="1" applyFont="1">
      <alignment horizontal="center" vertical="center"/>
    </xf>
    <xf borderId="19" fillId="0" fontId="3" numFmtId="0" xfId="0" applyAlignment="1" applyBorder="1" applyFont="1">
      <alignment horizontal="center" vertical="center"/>
    </xf>
    <xf borderId="20" fillId="0" fontId="3" numFmtId="164" xfId="0" applyAlignment="1" applyBorder="1" applyFont="1" applyNumberFormat="1">
      <alignment horizontal="center" vertical="center"/>
    </xf>
    <xf borderId="21" fillId="0" fontId="3" numFmtId="15" xfId="0" applyAlignment="1" applyBorder="1" applyFont="1" applyNumberFormat="1">
      <alignment horizontal="center" vertical="center"/>
    </xf>
    <xf borderId="21" fillId="0" fontId="3" numFmtId="0" xfId="0" applyAlignment="1" applyBorder="1" applyFont="1">
      <alignment horizontal="center" vertical="center"/>
    </xf>
    <xf borderId="20" fillId="0" fontId="3" numFmtId="0" xfId="0" applyAlignment="1" applyBorder="1" applyFont="1">
      <alignment horizontal="center" vertical="center"/>
    </xf>
    <xf borderId="13" fillId="4" fontId="3" numFmtId="0" xfId="0" applyAlignment="1" applyBorder="1" applyFont="1">
      <alignment horizontal="center" vertical="center"/>
    </xf>
    <xf borderId="13" fillId="4" fontId="3" numFmtId="164" xfId="0" applyAlignment="1" applyBorder="1" applyFont="1" applyNumberFormat="1">
      <alignment horizontal="center" vertical="center"/>
    </xf>
    <xf borderId="8" fillId="4" fontId="3" numFmtId="0" xfId="0" applyAlignment="1" applyBorder="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1" Type="http://schemas.openxmlformats.org/officeDocument/2006/relationships/hyperlink" Target="https://voltnederland.org/contactformulier%20(Contact%20form)" TargetMode="External"/><Relationship Id="rId10" Type="http://schemas.openxmlformats.org/officeDocument/2006/relationships/hyperlink" Target="about:blank" TargetMode="External"/><Relationship Id="rId13" Type="http://schemas.openxmlformats.org/officeDocument/2006/relationships/hyperlink" Target="mailto:raphael.noser@gruene.ch" TargetMode="External"/><Relationship Id="rId12" Type="http://schemas.openxmlformats.org/officeDocument/2006/relationships/hyperlink" Target="mailto:international@spschweiz.ch" TargetMode="External"/><Relationship Id="rId1" Type="http://schemas.openxmlformats.org/officeDocument/2006/relationships/hyperlink" Target="https://boerburgerbeweging.nl/contact/%20(online%20Form)" TargetMode="External"/><Relationship Id="rId2" Type="http://schemas.openxmlformats.org/officeDocument/2006/relationships/hyperlink" Target="about:blank" TargetMode="External"/><Relationship Id="rId3" Type="http://schemas.openxmlformats.org/officeDocument/2006/relationships/hyperlink" Target="mailto:info@christenunie.nl" TargetMode="External"/><Relationship Id="rId4" Type="http://schemas.openxmlformats.org/officeDocument/2006/relationships/hyperlink" Target="about:blank" TargetMode="External"/><Relationship Id="rId9" Type="http://schemas.openxmlformats.org/officeDocument/2006/relationships/hyperlink" Target="about:blank" TargetMode="External"/><Relationship Id="rId14" Type="http://schemas.openxmlformats.org/officeDocument/2006/relationships/drawing" Target="../drawings/drawing1.xml"/><Relationship Id="rId5" Type="http://schemas.openxmlformats.org/officeDocument/2006/relationships/hyperlink" Target="https://www.bewegingdenk.nl/contact/%20(online%20form)" TargetMode="External"/><Relationship Id="rId6" Type="http://schemas.openxmlformats.org/officeDocument/2006/relationships/hyperlink" Target="mailto:international@fvd.nl" TargetMode="External"/><Relationship Id="rId7" Type="http://schemas.openxmlformats.org/officeDocument/2006/relationships/hyperlink" Target="about:blank" TargetMode="External"/><Relationship Id="rId8" Type="http://schemas.openxmlformats.org/officeDocument/2006/relationships/hyperlink" Target="about:blank"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57"/>
    <col customWidth="1" min="2" max="2" width="13.29"/>
    <col customWidth="1" min="3" max="3" width="10.71"/>
    <col customWidth="1" min="4" max="4" width="13.29"/>
    <col customWidth="1" min="5" max="5" width="12.71"/>
    <col customWidth="1" min="6" max="6" width="12.43"/>
    <col customWidth="1" min="7" max="7" width="12.86"/>
    <col customWidth="1" min="8" max="8" width="10.71"/>
    <col customWidth="1" min="9" max="9" width="12.71"/>
    <col customWidth="1" min="10" max="10" width="12.57"/>
    <col customWidth="1" min="11" max="11" width="1363.57"/>
    <col customWidth="1" min="12" max="12" width="12.71"/>
    <col customWidth="1" min="13" max="13" width="11.71"/>
    <col customWidth="1" min="14" max="14" width="13.71"/>
    <col customWidth="1" min="15" max="15" width="13.29"/>
    <col customWidth="1" min="16" max="16" width="13.71"/>
    <col customWidth="1" min="17" max="17" width="13.14"/>
    <col customWidth="1" min="18" max="18" width="12.71"/>
    <col customWidth="1" min="19" max="19" width="14.14"/>
    <col customWidth="1" min="20" max="21" width="13.29"/>
    <col customWidth="1" min="22" max="22" width="14.71"/>
    <col customWidth="1" min="23" max="25" width="11.71"/>
    <col customWidth="1" min="26" max="28" width="12.71"/>
    <col customWidth="1" min="29" max="29" width="10.71"/>
    <col customWidth="1" min="30" max="30" width="12.86"/>
    <col customWidth="1" min="31" max="31" width="13.57"/>
    <col customWidth="1" min="32" max="32" width="13.71"/>
    <col customWidth="1" min="33" max="33" width="12.43"/>
    <col customWidth="1" min="34" max="36" width="12.71"/>
  </cols>
  <sheetData>
    <row r="1" ht="14.25" customHeight="1">
      <c r="A1" s="1" t="s">
        <v>0</v>
      </c>
      <c r="B1" s="2"/>
      <c r="C1" s="2"/>
      <c r="D1" s="2"/>
      <c r="E1" s="2"/>
      <c r="F1" s="2"/>
      <c r="G1" s="2"/>
      <c r="H1" s="2"/>
      <c r="I1" s="3"/>
      <c r="J1" s="4" t="s">
        <v>1</v>
      </c>
      <c r="K1" s="3"/>
      <c r="L1" s="3"/>
      <c r="M1" s="5" t="s">
        <v>2</v>
      </c>
      <c r="N1" s="5"/>
      <c r="O1" s="3"/>
      <c r="P1" s="3"/>
      <c r="Q1" s="3"/>
      <c r="R1" s="3"/>
      <c r="S1" s="3"/>
      <c r="T1" s="3"/>
      <c r="U1" s="3"/>
      <c r="V1" s="3"/>
      <c r="W1" s="3"/>
      <c r="X1" s="3"/>
      <c r="Y1" s="3"/>
      <c r="Z1" s="3"/>
      <c r="AA1" s="6"/>
      <c r="AC1" s="7" t="s">
        <v>3</v>
      </c>
    </row>
    <row r="2" ht="14.25" customHeight="1">
      <c r="A2" s="8" t="s">
        <v>4</v>
      </c>
      <c r="B2" s="9" t="s">
        <v>5</v>
      </c>
      <c r="C2" s="9" t="s">
        <v>6</v>
      </c>
      <c r="D2" s="9" t="s">
        <v>7</v>
      </c>
      <c r="E2" s="9" t="s">
        <v>8</v>
      </c>
      <c r="F2" s="9" t="s">
        <v>9</v>
      </c>
      <c r="G2" s="9" t="s">
        <v>10</v>
      </c>
      <c r="H2" s="10" t="s">
        <v>11</v>
      </c>
      <c r="I2" s="11"/>
      <c r="J2" s="12" t="s">
        <v>4</v>
      </c>
      <c r="K2" s="13" t="s">
        <v>12</v>
      </c>
      <c r="L2" s="11"/>
      <c r="M2" s="8" t="s">
        <v>4</v>
      </c>
      <c r="N2" s="14" t="s">
        <v>13</v>
      </c>
      <c r="O2" s="14" t="s">
        <v>14</v>
      </c>
      <c r="P2" s="14" t="s">
        <v>15</v>
      </c>
      <c r="Q2" s="14" t="s">
        <v>16</v>
      </c>
      <c r="R2" s="14" t="s">
        <v>17</v>
      </c>
      <c r="S2" s="10" t="s">
        <v>18</v>
      </c>
      <c r="T2" s="14" t="s">
        <v>19</v>
      </c>
      <c r="U2" s="14" t="s">
        <v>20</v>
      </c>
      <c r="V2" s="14" t="s">
        <v>21</v>
      </c>
      <c r="W2" s="14" t="s">
        <v>22</v>
      </c>
      <c r="X2" s="14" t="s">
        <v>23</v>
      </c>
      <c r="Y2" s="9" t="s">
        <v>24</v>
      </c>
      <c r="Z2" s="14" t="s">
        <v>25</v>
      </c>
      <c r="AA2" s="10" t="s">
        <v>26</v>
      </c>
      <c r="AC2" s="8" t="s">
        <v>4</v>
      </c>
      <c r="AD2" s="8" t="s">
        <v>27</v>
      </c>
      <c r="AE2" s="8" t="s">
        <v>28</v>
      </c>
      <c r="AF2" s="8" t="s">
        <v>29</v>
      </c>
      <c r="AG2" s="8" t="s">
        <v>30</v>
      </c>
      <c r="AH2" s="15" t="s">
        <v>11</v>
      </c>
      <c r="AJ2" s="16" t="s">
        <v>31</v>
      </c>
    </row>
    <row r="3" ht="14.25" customHeight="1">
      <c r="A3" s="17" t="s">
        <v>32</v>
      </c>
      <c r="B3" s="18"/>
      <c r="C3" s="18"/>
      <c r="D3" s="19"/>
      <c r="E3" s="19"/>
      <c r="F3" s="19"/>
      <c r="G3" s="20"/>
      <c r="H3" s="21"/>
      <c r="I3" s="22" t="s">
        <v>33</v>
      </c>
      <c r="J3" s="23" t="s">
        <v>32</v>
      </c>
      <c r="K3" s="24"/>
      <c r="M3" s="25" t="s">
        <v>34</v>
      </c>
      <c r="N3" s="26"/>
      <c r="O3" s="27"/>
      <c r="P3" s="27"/>
      <c r="Q3" s="27"/>
      <c r="R3" s="28"/>
      <c r="S3" s="28"/>
      <c r="T3" s="28"/>
      <c r="U3" s="28"/>
      <c r="V3" s="28"/>
      <c r="W3" s="27"/>
      <c r="X3" s="27"/>
      <c r="Y3" s="27"/>
      <c r="Z3" s="28"/>
      <c r="AA3" s="29"/>
      <c r="AC3" s="30" t="s">
        <v>32</v>
      </c>
      <c r="AD3" s="31"/>
      <c r="AE3" s="31"/>
      <c r="AF3" s="31"/>
      <c r="AG3" s="31"/>
      <c r="AH3" s="32"/>
    </row>
    <row r="4" ht="14.25" customHeight="1">
      <c r="A4" s="33" t="s">
        <v>35</v>
      </c>
      <c r="B4" s="3" t="s">
        <v>36</v>
      </c>
      <c r="C4" s="3" t="s">
        <v>37</v>
      </c>
      <c r="D4" s="3" t="s">
        <v>37</v>
      </c>
      <c r="E4" s="3" t="s">
        <v>38</v>
      </c>
      <c r="F4" s="3" t="s">
        <v>39</v>
      </c>
      <c r="G4" s="3" t="s">
        <v>37</v>
      </c>
      <c r="H4" s="34" t="s">
        <v>40</v>
      </c>
      <c r="I4" s="22" t="s">
        <v>41</v>
      </c>
      <c r="J4" s="33" t="s">
        <v>35</v>
      </c>
      <c r="K4" s="35" t="s">
        <v>42</v>
      </c>
      <c r="M4" s="36" t="s">
        <v>35</v>
      </c>
      <c r="N4" s="3" t="s">
        <v>43</v>
      </c>
      <c r="O4" s="22" t="s">
        <v>39</v>
      </c>
      <c r="P4" s="22" t="s">
        <v>44</v>
      </c>
      <c r="Q4" s="22" t="s">
        <v>39</v>
      </c>
      <c r="R4" s="22" t="s">
        <v>39</v>
      </c>
      <c r="S4" s="37" t="s">
        <v>45</v>
      </c>
      <c r="T4" s="22" t="s">
        <v>39</v>
      </c>
      <c r="U4" s="22" t="s">
        <v>39</v>
      </c>
      <c r="V4" s="3" t="s">
        <v>43</v>
      </c>
      <c r="W4" s="22" t="s">
        <v>39</v>
      </c>
      <c r="X4" s="22" t="s">
        <v>39</v>
      </c>
      <c r="Y4" s="22" t="s">
        <v>39</v>
      </c>
      <c r="Z4" s="22" t="s">
        <v>39</v>
      </c>
      <c r="AA4" s="37" t="s">
        <v>45</v>
      </c>
      <c r="AC4" s="36" t="s">
        <v>35</v>
      </c>
      <c r="AD4" s="22" t="s">
        <v>46</v>
      </c>
      <c r="AE4" s="22" t="s">
        <v>43</v>
      </c>
      <c r="AF4" s="22" t="s">
        <v>43</v>
      </c>
      <c r="AG4" s="38" t="s">
        <v>43</v>
      </c>
      <c r="AH4" s="39" t="s">
        <v>40</v>
      </c>
      <c r="AJ4" s="40" t="s">
        <v>47</v>
      </c>
    </row>
    <row r="5" ht="14.25" customHeight="1">
      <c r="A5" s="36" t="s">
        <v>48</v>
      </c>
      <c r="B5" s="22" t="s">
        <v>49</v>
      </c>
      <c r="C5" s="22" t="s">
        <v>37</v>
      </c>
      <c r="D5" s="22" t="s">
        <v>37</v>
      </c>
      <c r="E5" s="22" t="s">
        <v>50</v>
      </c>
      <c r="F5" s="22">
        <v>140.0</v>
      </c>
      <c r="G5" s="22" t="s">
        <v>37</v>
      </c>
      <c r="H5" s="41" t="s">
        <v>51</v>
      </c>
      <c r="I5" s="22" t="s">
        <v>41</v>
      </c>
      <c r="J5" s="36" t="s">
        <v>48</v>
      </c>
      <c r="K5" s="42" t="s">
        <v>52</v>
      </c>
      <c r="L5" s="22" t="s">
        <v>53</v>
      </c>
      <c r="M5" s="36" t="s">
        <v>48</v>
      </c>
      <c r="N5" s="22" t="s">
        <v>37</v>
      </c>
      <c r="O5" s="43" t="s">
        <v>54</v>
      </c>
      <c r="P5" s="43" t="s">
        <v>55</v>
      </c>
      <c r="Q5" s="43" t="s">
        <v>37</v>
      </c>
      <c r="R5" s="43" t="s">
        <v>56</v>
      </c>
      <c r="S5" s="44" t="s">
        <v>51</v>
      </c>
      <c r="T5" s="43" t="s">
        <v>57</v>
      </c>
      <c r="U5" s="43" t="s">
        <v>37</v>
      </c>
      <c r="V5" s="22" t="s">
        <v>43</v>
      </c>
      <c r="W5" s="22" t="s">
        <v>37</v>
      </c>
      <c r="X5" s="22" t="s">
        <v>37</v>
      </c>
      <c r="Y5" s="22" t="s">
        <v>37</v>
      </c>
      <c r="Z5" s="22" t="s">
        <v>37</v>
      </c>
      <c r="AA5" s="39" t="s">
        <v>51</v>
      </c>
      <c r="AC5" s="36" t="s">
        <v>48</v>
      </c>
      <c r="AD5" s="22" t="s">
        <v>58</v>
      </c>
      <c r="AE5" s="22" t="s">
        <v>43</v>
      </c>
      <c r="AF5" s="22" t="s">
        <v>43</v>
      </c>
      <c r="AG5" s="38" t="s">
        <v>43</v>
      </c>
      <c r="AH5" s="39" t="s">
        <v>40</v>
      </c>
      <c r="AJ5" s="40" t="s">
        <v>59</v>
      </c>
    </row>
    <row r="6" ht="14.25" customHeight="1">
      <c r="A6" s="36" t="s">
        <v>60</v>
      </c>
      <c r="B6" s="22" t="s">
        <v>61</v>
      </c>
      <c r="C6" s="22" t="s">
        <v>37</v>
      </c>
      <c r="D6" s="22" t="s">
        <v>37</v>
      </c>
      <c r="E6" s="22" t="s">
        <v>38</v>
      </c>
      <c r="F6" s="22" t="s">
        <v>44</v>
      </c>
      <c r="G6" s="22" t="s">
        <v>37</v>
      </c>
      <c r="H6" s="41" t="s">
        <v>40</v>
      </c>
      <c r="J6" s="36" t="s">
        <v>60</v>
      </c>
      <c r="K6" s="42" t="s">
        <v>62</v>
      </c>
      <c r="L6" s="22" t="s">
        <v>53</v>
      </c>
      <c r="M6" s="36" t="s">
        <v>60</v>
      </c>
      <c r="N6" s="22" t="s">
        <v>43</v>
      </c>
      <c r="O6" s="22" t="s">
        <v>39</v>
      </c>
      <c r="P6" s="22" t="s">
        <v>44</v>
      </c>
      <c r="Q6" s="22" t="s">
        <v>39</v>
      </c>
      <c r="R6" s="22" t="s">
        <v>39</v>
      </c>
      <c r="S6" s="39" t="s">
        <v>45</v>
      </c>
      <c r="T6" s="22" t="s">
        <v>39</v>
      </c>
      <c r="U6" s="22" t="s">
        <v>39</v>
      </c>
      <c r="V6" s="22" t="s">
        <v>43</v>
      </c>
      <c r="W6" s="22" t="s">
        <v>39</v>
      </c>
      <c r="X6" s="22" t="s">
        <v>39</v>
      </c>
      <c r="Y6" s="22" t="s">
        <v>39</v>
      </c>
      <c r="Z6" s="22" t="s">
        <v>39</v>
      </c>
      <c r="AA6" s="39" t="s">
        <v>45</v>
      </c>
      <c r="AC6" s="36" t="s">
        <v>60</v>
      </c>
      <c r="AD6" s="22" t="s">
        <v>43</v>
      </c>
      <c r="AE6" s="22" t="s">
        <v>43</v>
      </c>
      <c r="AF6" s="22" t="s">
        <v>43</v>
      </c>
      <c r="AG6" s="38" t="s">
        <v>43</v>
      </c>
      <c r="AH6" s="39" t="s">
        <v>45</v>
      </c>
      <c r="AJ6" s="40" t="s">
        <v>63</v>
      </c>
    </row>
    <row r="7" ht="13.5" customHeight="1">
      <c r="A7" s="36" t="s">
        <v>64</v>
      </c>
      <c r="B7" s="22" t="s">
        <v>65</v>
      </c>
      <c r="C7" s="22" t="s">
        <v>37</v>
      </c>
      <c r="D7" s="22" t="s">
        <v>37</v>
      </c>
      <c r="E7" s="45" t="s">
        <v>66</v>
      </c>
      <c r="F7" s="22">
        <v>618.0</v>
      </c>
      <c r="G7" s="22" t="s">
        <v>37</v>
      </c>
      <c r="H7" s="41" t="s">
        <v>51</v>
      </c>
      <c r="I7" s="22" t="s">
        <v>41</v>
      </c>
      <c r="J7" s="36" t="s">
        <v>64</v>
      </c>
      <c r="K7" s="42" t="s">
        <v>67</v>
      </c>
      <c r="L7" s="22" t="s">
        <v>53</v>
      </c>
      <c r="M7" s="36" t="s">
        <v>64</v>
      </c>
      <c r="N7" s="22" t="s">
        <v>37</v>
      </c>
      <c r="O7" s="22" t="s">
        <v>54</v>
      </c>
      <c r="P7" s="22" t="s">
        <v>55</v>
      </c>
      <c r="Q7" s="22" t="s">
        <v>68</v>
      </c>
      <c r="R7" s="22" t="s">
        <v>56</v>
      </c>
      <c r="S7" s="44" t="s">
        <v>51</v>
      </c>
      <c r="T7" s="43" t="s">
        <v>69</v>
      </c>
      <c r="U7" s="43" t="s">
        <v>37</v>
      </c>
      <c r="V7" s="22" t="s">
        <v>37</v>
      </c>
      <c r="W7" s="22" t="s">
        <v>37</v>
      </c>
      <c r="X7" s="22" t="s">
        <v>37</v>
      </c>
      <c r="Y7" s="22" t="s">
        <v>37</v>
      </c>
      <c r="Z7" s="22" t="s">
        <v>70</v>
      </c>
      <c r="AA7" s="39" t="s">
        <v>51</v>
      </c>
      <c r="AC7" s="36" t="s">
        <v>64</v>
      </c>
      <c r="AD7" s="22" t="s">
        <v>71</v>
      </c>
      <c r="AE7" s="22" t="s">
        <v>72</v>
      </c>
      <c r="AF7" s="22" t="s">
        <v>43</v>
      </c>
      <c r="AG7" s="38" t="s">
        <v>43</v>
      </c>
      <c r="AH7" s="39" t="s">
        <v>40</v>
      </c>
      <c r="AJ7" s="40" t="s">
        <v>73</v>
      </c>
    </row>
    <row r="8" ht="14.25" customHeight="1">
      <c r="A8" s="36" t="s">
        <v>74</v>
      </c>
      <c r="B8" s="22" t="s">
        <v>61</v>
      </c>
      <c r="C8" s="22" t="s">
        <v>43</v>
      </c>
      <c r="D8" s="22" t="s">
        <v>43</v>
      </c>
      <c r="E8" s="22" t="s">
        <v>38</v>
      </c>
      <c r="F8" s="22" t="s">
        <v>44</v>
      </c>
      <c r="G8" s="22" t="s">
        <v>43</v>
      </c>
      <c r="H8" s="41" t="s">
        <v>45</v>
      </c>
      <c r="I8" s="22" t="s">
        <v>41</v>
      </c>
      <c r="J8" s="36" t="s">
        <v>74</v>
      </c>
      <c r="K8" s="42" t="s">
        <v>75</v>
      </c>
      <c r="M8" s="36" t="s">
        <v>74</v>
      </c>
      <c r="N8" s="22" t="s">
        <v>43</v>
      </c>
      <c r="O8" s="22" t="s">
        <v>39</v>
      </c>
      <c r="P8" s="22" t="s">
        <v>44</v>
      </c>
      <c r="Q8" s="22" t="s">
        <v>39</v>
      </c>
      <c r="R8" s="22" t="s">
        <v>39</v>
      </c>
      <c r="S8" s="39" t="s">
        <v>45</v>
      </c>
      <c r="T8" s="22" t="s">
        <v>39</v>
      </c>
      <c r="U8" s="22" t="s">
        <v>39</v>
      </c>
      <c r="V8" s="22" t="s">
        <v>43</v>
      </c>
      <c r="W8" s="22" t="s">
        <v>39</v>
      </c>
      <c r="X8" s="22" t="s">
        <v>39</v>
      </c>
      <c r="Y8" s="22" t="s">
        <v>39</v>
      </c>
      <c r="Z8" s="22" t="s">
        <v>39</v>
      </c>
      <c r="AA8" s="39" t="s">
        <v>45</v>
      </c>
      <c r="AC8" s="36" t="s">
        <v>74</v>
      </c>
      <c r="AD8" s="22" t="s">
        <v>43</v>
      </c>
      <c r="AE8" s="22" t="s">
        <v>43</v>
      </c>
      <c r="AF8" s="22" t="s">
        <v>43</v>
      </c>
      <c r="AG8" s="38" t="s">
        <v>43</v>
      </c>
      <c r="AH8" s="39" t="s">
        <v>45</v>
      </c>
      <c r="AJ8" s="40" t="s">
        <v>76</v>
      </c>
    </row>
    <row r="9" ht="14.25" customHeight="1">
      <c r="A9" s="36" t="s">
        <v>77</v>
      </c>
      <c r="B9" s="22" t="s">
        <v>61</v>
      </c>
      <c r="C9" s="22" t="s">
        <v>37</v>
      </c>
      <c r="D9" s="22" t="s">
        <v>37</v>
      </c>
      <c r="E9" s="22" t="s">
        <v>38</v>
      </c>
      <c r="F9" s="22" t="s">
        <v>44</v>
      </c>
      <c r="G9" s="22" t="s">
        <v>43</v>
      </c>
      <c r="H9" s="41" t="s">
        <v>40</v>
      </c>
      <c r="J9" s="36" t="s">
        <v>77</v>
      </c>
      <c r="K9" s="42" t="s">
        <v>78</v>
      </c>
      <c r="L9" s="22" t="s">
        <v>53</v>
      </c>
      <c r="M9" s="36" t="s">
        <v>77</v>
      </c>
      <c r="N9" s="22" t="s">
        <v>37</v>
      </c>
      <c r="O9" s="22" t="s">
        <v>39</v>
      </c>
      <c r="P9" s="43" t="s">
        <v>55</v>
      </c>
      <c r="Q9" s="22" t="s">
        <v>43</v>
      </c>
      <c r="R9" s="22" t="s">
        <v>39</v>
      </c>
      <c r="S9" s="39" t="s">
        <v>45</v>
      </c>
      <c r="T9" s="22" t="s">
        <v>79</v>
      </c>
      <c r="U9" s="43" t="s">
        <v>37</v>
      </c>
      <c r="V9" s="22" t="s">
        <v>37</v>
      </c>
      <c r="W9" s="22" t="s">
        <v>44</v>
      </c>
      <c r="X9" s="22" t="s">
        <v>44</v>
      </c>
      <c r="Y9" s="22" t="s">
        <v>44</v>
      </c>
      <c r="Z9" s="22" t="s">
        <v>44</v>
      </c>
      <c r="AA9" s="39" t="s">
        <v>45</v>
      </c>
      <c r="AC9" s="36" t="s">
        <v>77</v>
      </c>
      <c r="AD9" s="22" t="s">
        <v>80</v>
      </c>
      <c r="AE9" s="22" t="s">
        <v>81</v>
      </c>
      <c r="AF9" s="22" t="s">
        <v>43</v>
      </c>
      <c r="AG9" s="38" t="s">
        <v>43</v>
      </c>
      <c r="AH9" s="39" t="s">
        <v>40</v>
      </c>
      <c r="AJ9" s="40" t="s">
        <v>82</v>
      </c>
    </row>
    <row r="10" ht="14.25" customHeight="1">
      <c r="A10" s="36" t="s">
        <v>83</v>
      </c>
      <c r="B10" s="22" t="s">
        <v>84</v>
      </c>
      <c r="C10" s="22" t="s">
        <v>37</v>
      </c>
      <c r="D10" s="22" t="s">
        <v>37</v>
      </c>
      <c r="E10" s="22" t="s">
        <v>85</v>
      </c>
      <c r="F10" s="22">
        <v>587.0</v>
      </c>
      <c r="G10" s="22" t="s">
        <v>37</v>
      </c>
      <c r="H10" s="41" t="s">
        <v>51</v>
      </c>
      <c r="I10" s="22" t="s">
        <v>41</v>
      </c>
      <c r="J10" s="36" t="s">
        <v>83</v>
      </c>
      <c r="K10" s="42" t="s">
        <v>86</v>
      </c>
      <c r="L10" s="22" t="s">
        <v>53</v>
      </c>
      <c r="M10" s="36" t="s">
        <v>83</v>
      </c>
      <c r="N10" s="22" t="s">
        <v>37</v>
      </c>
      <c r="O10" s="22" t="s">
        <v>54</v>
      </c>
      <c r="P10" s="22" t="s">
        <v>55</v>
      </c>
      <c r="Q10" s="22" t="s">
        <v>43</v>
      </c>
      <c r="R10" s="22" t="s">
        <v>87</v>
      </c>
      <c r="S10" s="39" t="s">
        <v>45</v>
      </c>
      <c r="T10" s="22" t="s">
        <v>79</v>
      </c>
      <c r="U10" s="43" t="s">
        <v>37</v>
      </c>
      <c r="V10" s="22" t="s">
        <v>43</v>
      </c>
      <c r="W10" s="22" t="s">
        <v>37</v>
      </c>
      <c r="X10" s="22" t="s">
        <v>37</v>
      </c>
      <c r="Y10" s="22" t="s">
        <v>37</v>
      </c>
      <c r="Z10" s="22" t="s">
        <v>88</v>
      </c>
      <c r="AA10" s="39" t="s">
        <v>51</v>
      </c>
      <c r="AC10" s="36" t="s">
        <v>83</v>
      </c>
      <c r="AD10" s="22" t="s">
        <v>89</v>
      </c>
      <c r="AE10" s="22" t="s">
        <v>43</v>
      </c>
      <c r="AF10" s="22" t="s">
        <v>43</v>
      </c>
      <c r="AG10" s="38" t="s">
        <v>43</v>
      </c>
      <c r="AH10" s="39" t="s">
        <v>40</v>
      </c>
      <c r="AJ10" s="40" t="s">
        <v>90</v>
      </c>
    </row>
    <row r="11" ht="14.25" customHeight="1">
      <c r="A11" s="36" t="s">
        <v>91</v>
      </c>
      <c r="B11" s="22" t="s">
        <v>92</v>
      </c>
      <c r="C11" s="22" t="s">
        <v>43</v>
      </c>
      <c r="D11" s="22" t="s">
        <v>43</v>
      </c>
      <c r="E11" s="22" t="s">
        <v>93</v>
      </c>
      <c r="F11" s="22" t="s">
        <v>39</v>
      </c>
      <c r="G11" s="22" t="s">
        <v>43</v>
      </c>
      <c r="H11" s="41" t="s">
        <v>45</v>
      </c>
      <c r="I11" s="22" t="s">
        <v>41</v>
      </c>
      <c r="J11" s="36" t="s">
        <v>91</v>
      </c>
      <c r="K11" s="42" t="s">
        <v>75</v>
      </c>
      <c r="M11" s="36" t="s">
        <v>91</v>
      </c>
      <c r="N11" s="22" t="s">
        <v>37</v>
      </c>
      <c r="O11" s="22" t="s">
        <v>39</v>
      </c>
      <c r="P11" s="22" t="s">
        <v>55</v>
      </c>
      <c r="Q11" s="22" t="s">
        <v>39</v>
      </c>
      <c r="R11" s="22" t="s">
        <v>39</v>
      </c>
      <c r="S11" s="39" t="s">
        <v>45</v>
      </c>
      <c r="T11" s="22" t="s">
        <v>79</v>
      </c>
      <c r="U11" s="22" t="s">
        <v>37</v>
      </c>
      <c r="V11" s="22" t="s">
        <v>43</v>
      </c>
      <c r="W11" s="22" t="s">
        <v>39</v>
      </c>
      <c r="X11" s="22" t="s">
        <v>39</v>
      </c>
      <c r="Y11" s="22" t="s">
        <v>39</v>
      </c>
      <c r="Z11" s="22" t="s">
        <v>39</v>
      </c>
      <c r="AA11" s="39" t="s">
        <v>45</v>
      </c>
      <c r="AC11" s="36" t="s">
        <v>91</v>
      </c>
      <c r="AD11" s="22" t="s">
        <v>43</v>
      </c>
      <c r="AE11" s="22" t="s">
        <v>43</v>
      </c>
      <c r="AF11" s="22" t="s">
        <v>43</v>
      </c>
      <c r="AG11" s="38" t="s">
        <v>43</v>
      </c>
      <c r="AH11" s="39" t="s">
        <v>45</v>
      </c>
      <c r="AJ11" s="40" t="s">
        <v>94</v>
      </c>
    </row>
    <row r="12" ht="14.25" customHeight="1">
      <c r="A12" s="36" t="s">
        <v>95</v>
      </c>
      <c r="B12" s="22" t="s">
        <v>96</v>
      </c>
      <c r="C12" s="22" t="s">
        <v>43</v>
      </c>
      <c r="D12" s="22" t="s">
        <v>43</v>
      </c>
      <c r="E12" s="22" t="s">
        <v>38</v>
      </c>
      <c r="F12" s="22">
        <v>100.0</v>
      </c>
      <c r="G12" s="22" t="s">
        <v>43</v>
      </c>
      <c r="H12" s="41" t="s">
        <v>45</v>
      </c>
      <c r="I12" s="22" t="s">
        <v>41</v>
      </c>
      <c r="J12" s="36" t="s">
        <v>95</v>
      </c>
      <c r="K12" s="42" t="s">
        <v>97</v>
      </c>
      <c r="M12" s="36" t="s">
        <v>95</v>
      </c>
      <c r="N12" s="22" t="s">
        <v>37</v>
      </c>
      <c r="O12" s="22" t="s">
        <v>39</v>
      </c>
      <c r="P12" s="22" t="s">
        <v>55</v>
      </c>
      <c r="Q12" s="22" t="s">
        <v>43</v>
      </c>
      <c r="R12" s="22" t="s">
        <v>39</v>
      </c>
      <c r="S12" s="39" t="s">
        <v>45</v>
      </c>
      <c r="T12" s="22" t="s">
        <v>44</v>
      </c>
      <c r="U12" s="22" t="s">
        <v>44</v>
      </c>
      <c r="V12" s="22" t="s">
        <v>43</v>
      </c>
      <c r="W12" s="22" t="s">
        <v>43</v>
      </c>
      <c r="X12" s="22" t="s">
        <v>43</v>
      </c>
      <c r="Y12" s="22" t="s">
        <v>43</v>
      </c>
      <c r="Z12" s="22" t="s">
        <v>43</v>
      </c>
      <c r="AA12" s="39" t="s">
        <v>45</v>
      </c>
      <c r="AC12" s="36" t="s">
        <v>95</v>
      </c>
      <c r="AD12" s="22" t="s">
        <v>43</v>
      </c>
      <c r="AE12" s="22" t="s">
        <v>43</v>
      </c>
      <c r="AF12" s="22" t="s">
        <v>43</v>
      </c>
      <c r="AG12" s="38" t="s">
        <v>43</v>
      </c>
      <c r="AH12" s="39" t="s">
        <v>45</v>
      </c>
      <c r="AJ12" s="40" t="s">
        <v>98</v>
      </c>
    </row>
    <row r="13" ht="14.25" customHeight="1">
      <c r="A13" s="36" t="s">
        <v>99</v>
      </c>
      <c r="B13" s="22" t="s">
        <v>100</v>
      </c>
      <c r="C13" s="22" t="s">
        <v>37</v>
      </c>
      <c r="D13" s="22" t="s">
        <v>37</v>
      </c>
      <c r="E13" s="22" t="s">
        <v>101</v>
      </c>
      <c r="F13" s="22" t="s">
        <v>44</v>
      </c>
      <c r="G13" s="22" t="s">
        <v>37</v>
      </c>
      <c r="H13" s="41" t="s">
        <v>51</v>
      </c>
      <c r="J13" s="36" t="s">
        <v>102</v>
      </c>
      <c r="K13" s="42" t="s">
        <v>103</v>
      </c>
      <c r="L13" s="22" t="s">
        <v>53</v>
      </c>
      <c r="M13" s="36" t="s">
        <v>102</v>
      </c>
      <c r="N13" s="22" t="s">
        <v>37</v>
      </c>
      <c r="O13" s="22" t="s">
        <v>54</v>
      </c>
      <c r="P13" s="22" t="s">
        <v>104</v>
      </c>
      <c r="Q13" s="22" t="s">
        <v>37</v>
      </c>
      <c r="R13" s="22" t="s">
        <v>56</v>
      </c>
      <c r="S13" s="44" t="s">
        <v>51</v>
      </c>
      <c r="T13" s="43" t="s">
        <v>69</v>
      </c>
      <c r="U13" s="43" t="s">
        <v>37</v>
      </c>
      <c r="V13" s="22" t="s">
        <v>43</v>
      </c>
      <c r="W13" s="22" t="s">
        <v>44</v>
      </c>
      <c r="X13" s="22" t="s">
        <v>44</v>
      </c>
      <c r="Y13" s="22" t="s">
        <v>44</v>
      </c>
      <c r="Z13" s="22" t="s">
        <v>44</v>
      </c>
      <c r="AA13" s="39" t="s">
        <v>45</v>
      </c>
      <c r="AC13" s="36" t="s">
        <v>99</v>
      </c>
      <c r="AD13" s="22" t="s">
        <v>43</v>
      </c>
      <c r="AE13" s="22" t="s">
        <v>43</v>
      </c>
      <c r="AF13" s="22" t="s">
        <v>43</v>
      </c>
      <c r="AG13" s="38" t="s">
        <v>43</v>
      </c>
      <c r="AH13" s="39" t="s">
        <v>45</v>
      </c>
      <c r="AJ13" s="40" t="s">
        <v>105</v>
      </c>
    </row>
    <row r="14" ht="14.25" customHeight="1">
      <c r="A14" s="36" t="s">
        <v>106</v>
      </c>
      <c r="B14" s="22" t="s">
        <v>61</v>
      </c>
      <c r="C14" s="22" t="s">
        <v>37</v>
      </c>
      <c r="D14" s="22" t="s">
        <v>37</v>
      </c>
      <c r="E14" s="22" t="s">
        <v>38</v>
      </c>
      <c r="F14" s="22" t="s">
        <v>44</v>
      </c>
      <c r="G14" s="22" t="s">
        <v>37</v>
      </c>
      <c r="H14" s="41" t="s">
        <v>40</v>
      </c>
      <c r="I14" s="22" t="s">
        <v>41</v>
      </c>
      <c r="J14" s="36" t="s">
        <v>106</v>
      </c>
      <c r="K14" s="42" t="s">
        <v>107</v>
      </c>
      <c r="L14" s="22" t="s">
        <v>53</v>
      </c>
      <c r="M14" s="36" t="s">
        <v>106</v>
      </c>
      <c r="N14" s="22" t="s">
        <v>37</v>
      </c>
      <c r="O14" s="22" t="s">
        <v>39</v>
      </c>
      <c r="P14" s="22" t="s">
        <v>104</v>
      </c>
      <c r="Q14" s="22" t="s">
        <v>39</v>
      </c>
      <c r="R14" s="22" t="s">
        <v>39</v>
      </c>
      <c r="S14" s="39" t="s">
        <v>45</v>
      </c>
      <c r="T14" s="22" t="s">
        <v>79</v>
      </c>
      <c r="U14" s="22" t="s">
        <v>37</v>
      </c>
      <c r="V14" s="22" t="s">
        <v>43</v>
      </c>
      <c r="W14" s="22" t="s">
        <v>39</v>
      </c>
      <c r="X14" s="22" t="s">
        <v>39</v>
      </c>
      <c r="Y14" s="22" t="s">
        <v>39</v>
      </c>
      <c r="Z14" s="22" t="s">
        <v>39</v>
      </c>
      <c r="AA14" s="39" t="s">
        <v>45</v>
      </c>
      <c r="AC14" s="36" t="s">
        <v>106</v>
      </c>
      <c r="AD14" s="22" t="s">
        <v>43</v>
      </c>
      <c r="AE14" s="22" t="s">
        <v>43</v>
      </c>
      <c r="AF14" s="22" t="s">
        <v>43</v>
      </c>
      <c r="AG14" s="38" t="s">
        <v>43</v>
      </c>
      <c r="AH14" s="39" t="s">
        <v>45</v>
      </c>
      <c r="AJ14" s="22" t="s">
        <v>108</v>
      </c>
    </row>
    <row r="15" ht="14.25" customHeight="1">
      <c r="A15" s="36" t="s">
        <v>109</v>
      </c>
      <c r="B15" s="22" t="s">
        <v>110</v>
      </c>
      <c r="C15" s="22" t="s">
        <v>43</v>
      </c>
      <c r="D15" s="22" t="s">
        <v>43</v>
      </c>
      <c r="E15" s="22" t="s">
        <v>38</v>
      </c>
      <c r="F15" s="22" t="s">
        <v>44</v>
      </c>
      <c r="G15" s="22" t="s">
        <v>43</v>
      </c>
      <c r="H15" s="41" t="s">
        <v>45</v>
      </c>
      <c r="J15" s="36" t="s">
        <v>109</v>
      </c>
      <c r="K15" s="42" t="s">
        <v>75</v>
      </c>
      <c r="M15" s="36" t="s">
        <v>109</v>
      </c>
      <c r="N15" s="22" t="s">
        <v>43</v>
      </c>
      <c r="O15" s="22" t="s">
        <v>39</v>
      </c>
      <c r="P15" s="22" t="s">
        <v>44</v>
      </c>
      <c r="Q15" s="22" t="s">
        <v>39</v>
      </c>
      <c r="R15" s="22" t="s">
        <v>39</v>
      </c>
      <c r="S15" s="39" t="s">
        <v>45</v>
      </c>
      <c r="T15" s="22" t="s">
        <v>39</v>
      </c>
      <c r="U15" s="22" t="s">
        <v>39</v>
      </c>
      <c r="V15" s="22" t="s">
        <v>43</v>
      </c>
      <c r="W15" s="22" t="s">
        <v>39</v>
      </c>
      <c r="X15" s="22" t="s">
        <v>39</v>
      </c>
      <c r="Y15" s="22" t="s">
        <v>39</v>
      </c>
      <c r="Z15" s="22" t="s">
        <v>39</v>
      </c>
      <c r="AA15" s="39" t="s">
        <v>45</v>
      </c>
      <c r="AC15" s="36" t="s">
        <v>109</v>
      </c>
      <c r="AD15" s="22" t="s">
        <v>43</v>
      </c>
      <c r="AE15" s="22" t="s">
        <v>43</v>
      </c>
      <c r="AF15" s="22" t="s">
        <v>43</v>
      </c>
      <c r="AG15" s="38" t="s">
        <v>43</v>
      </c>
      <c r="AH15" s="39" t="s">
        <v>45</v>
      </c>
      <c r="AJ15" s="22" t="s">
        <v>111</v>
      </c>
    </row>
    <row r="16" ht="14.25" customHeight="1">
      <c r="A16" s="36" t="s">
        <v>112</v>
      </c>
      <c r="B16" s="22" t="s">
        <v>61</v>
      </c>
      <c r="C16" s="22" t="s">
        <v>37</v>
      </c>
      <c r="D16" s="22" t="s">
        <v>37</v>
      </c>
      <c r="E16" s="22" t="s">
        <v>38</v>
      </c>
      <c r="F16" s="22">
        <v>31.0</v>
      </c>
      <c r="G16" s="22" t="s">
        <v>113</v>
      </c>
      <c r="H16" s="41" t="s">
        <v>40</v>
      </c>
      <c r="I16" s="22" t="s">
        <v>41</v>
      </c>
      <c r="J16" s="36" t="s">
        <v>112</v>
      </c>
      <c r="K16" s="42" t="s">
        <v>114</v>
      </c>
      <c r="L16" s="22" t="s">
        <v>53</v>
      </c>
      <c r="M16" s="36" t="s">
        <v>112</v>
      </c>
      <c r="N16" s="22" t="s">
        <v>43</v>
      </c>
      <c r="O16" s="22" t="s">
        <v>39</v>
      </c>
      <c r="P16" s="22" t="s">
        <v>104</v>
      </c>
      <c r="Q16" s="22" t="s">
        <v>39</v>
      </c>
      <c r="R16" s="22" t="s">
        <v>39</v>
      </c>
      <c r="S16" s="39" t="s">
        <v>45</v>
      </c>
      <c r="T16" s="22" t="s">
        <v>39</v>
      </c>
      <c r="U16" s="22" t="s">
        <v>39</v>
      </c>
      <c r="V16" s="22" t="s">
        <v>43</v>
      </c>
      <c r="W16" s="22" t="s">
        <v>39</v>
      </c>
      <c r="X16" s="22" t="s">
        <v>39</v>
      </c>
      <c r="Y16" s="22" t="s">
        <v>39</v>
      </c>
      <c r="Z16" s="22" t="s">
        <v>39</v>
      </c>
      <c r="AA16" s="39" t="s">
        <v>45</v>
      </c>
      <c r="AC16" s="36" t="s">
        <v>112</v>
      </c>
      <c r="AD16" s="22" t="s">
        <v>43</v>
      </c>
      <c r="AE16" s="22" t="s">
        <v>43</v>
      </c>
      <c r="AF16" s="22" t="s">
        <v>43</v>
      </c>
      <c r="AG16" s="38" t="s">
        <v>43</v>
      </c>
      <c r="AH16" s="39" t="s">
        <v>45</v>
      </c>
      <c r="AJ16" s="22" t="s">
        <v>115</v>
      </c>
    </row>
    <row r="17" ht="14.25" customHeight="1">
      <c r="A17" s="36" t="s">
        <v>116</v>
      </c>
      <c r="B17" s="22" t="s">
        <v>49</v>
      </c>
      <c r="C17" s="22" t="s">
        <v>37</v>
      </c>
      <c r="D17" s="22" t="s">
        <v>37</v>
      </c>
      <c r="E17" s="22" t="s">
        <v>38</v>
      </c>
      <c r="F17" s="22">
        <v>188.0</v>
      </c>
      <c r="G17" s="22" t="s">
        <v>117</v>
      </c>
      <c r="H17" s="41" t="s">
        <v>40</v>
      </c>
      <c r="I17" s="22" t="s">
        <v>41</v>
      </c>
      <c r="J17" s="36" t="s">
        <v>116</v>
      </c>
      <c r="K17" s="42" t="s">
        <v>118</v>
      </c>
      <c r="M17" s="36" t="s">
        <v>116</v>
      </c>
      <c r="N17" s="22" t="s">
        <v>37</v>
      </c>
      <c r="O17" s="22" t="s">
        <v>39</v>
      </c>
      <c r="P17" s="22" t="s">
        <v>104</v>
      </c>
      <c r="Q17" s="22" t="s">
        <v>39</v>
      </c>
      <c r="R17" s="22" t="s">
        <v>39</v>
      </c>
      <c r="S17" s="39" t="s">
        <v>45</v>
      </c>
      <c r="T17" s="22" t="s">
        <v>79</v>
      </c>
      <c r="U17" s="22" t="s">
        <v>37</v>
      </c>
      <c r="V17" s="22" t="s">
        <v>43</v>
      </c>
      <c r="W17" s="22" t="s">
        <v>37</v>
      </c>
      <c r="X17" s="22" t="s">
        <v>39</v>
      </c>
      <c r="Y17" s="22" t="s">
        <v>39</v>
      </c>
      <c r="Z17" s="22" t="s">
        <v>39</v>
      </c>
      <c r="AA17" s="39" t="s">
        <v>45</v>
      </c>
      <c r="AC17" s="36" t="s">
        <v>116</v>
      </c>
      <c r="AD17" s="22" t="s">
        <v>43</v>
      </c>
      <c r="AE17" s="22" t="s">
        <v>43</v>
      </c>
      <c r="AF17" s="22" t="s">
        <v>43</v>
      </c>
      <c r="AG17" s="38" t="s">
        <v>43</v>
      </c>
      <c r="AH17" s="39" t="s">
        <v>45</v>
      </c>
      <c r="AJ17" s="22" t="s">
        <v>119</v>
      </c>
    </row>
    <row r="18" ht="14.25" customHeight="1">
      <c r="A18" s="36" t="s">
        <v>120</v>
      </c>
      <c r="B18" s="22" t="s">
        <v>121</v>
      </c>
      <c r="C18" s="22" t="s">
        <v>43</v>
      </c>
      <c r="D18" s="22" t="s">
        <v>43</v>
      </c>
      <c r="E18" s="22" t="s">
        <v>38</v>
      </c>
      <c r="F18" s="22" t="s">
        <v>44</v>
      </c>
      <c r="G18" s="22" t="s">
        <v>43</v>
      </c>
      <c r="H18" s="41" t="s">
        <v>45</v>
      </c>
      <c r="J18" s="36" t="s">
        <v>120</v>
      </c>
      <c r="K18" s="42" t="s">
        <v>75</v>
      </c>
      <c r="M18" s="36" t="s">
        <v>120</v>
      </c>
      <c r="N18" s="22" t="s">
        <v>43</v>
      </c>
      <c r="O18" s="22" t="s">
        <v>39</v>
      </c>
      <c r="P18" s="22" t="s">
        <v>44</v>
      </c>
      <c r="Q18" s="22" t="s">
        <v>39</v>
      </c>
      <c r="R18" s="22" t="s">
        <v>39</v>
      </c>
      <c r="S18" s="39" t="s">
        <v>45</v>
      </c>
      <c r="T18" s="22" t="s">
        <v>39</v>
      </c>
      <c r="U18" s="22" t="s">
        <v>39</v>
      </c>
      <c r="V18" s="22" t="s">
        <v>43</v>
      </c>
      <c r="W18" s="22" t="s">
        <v>39</v>
      </c>
      <c r="X18" s="22" t="s">
        <v>39</v>
      </c>
      <c r="Y18" s="22" t="s">
        <v>39</v>
      </c>
      <c r="Z18" s="22" t="s">
        <v>39</v>
      </c>
      <c r="AA18" s="39" t="s">
        <v>45</v>
      </c>
      <c r="AC18" s="36" t="s">
        <v>120</v>
      </c>
      <c r="AD18" s="22" t="s">
        <v>43</v>
      </c>
      <c r="AE18" s="22" t="s">
        <v>43</v>
      </c>
      <c r="AF18" s="22" t="s">
        <v>43</v>
      </c>
      <c r="AG18" s="38" t="s">
        <v>43</v>
      </c>
      <c r="AH18" s="39" t="s">
        <v>45</v>
      </c>
      <c r="AJ18" s="40" t="s">
        <v>122</v>
      </c>
    </row>
    <row r="19" ht="14.25" customHeight="1">
      <c r="A19" s="46" t="s">
        <v>123</v>
      </c>
      <c r="B19" s="47" t="s">
        <v>124</v>
      </c>
      <c r="C19" s="47" t="s">
        <v>37</v>
      </c>
      <c r="D19" s="47" t="s">
        <v>37</v>
      </c>
      <c r="E19" s="47" t="s">
        <v>38</v>
      </c>
      <c r="F19" s="47" t="s">
        <v>44</v>
      </c>
      <c r="G19" s="47" t="s">
        <v>43</v>
      </c>
      <c r="H19" s="48" t="s">
        <v>40</v>
      </c>
      <c r="J19" s="46" t="s">
        <v>123</v>
      </c>
      <c r="K19" s="49" t="s">
        <v>125</v>
      </c>
      <c r="L19" s="22" t="s">
        <v>53</v>
      </c>
      <c r="M19" s="46" t="s">
        <v>123</v>
      </c>
      <c r="N19" s="47" t="s">
        <v>37</v>
      </c>
      <c r="O19" s="47" t="s">
        <v>39</v>
      </c>
      <c r="P19" s="47" t="s">
        <v>104</v>
      </c>
      <c r="Q19" s="47" t="s">
        <v>39</v>
      </c>
      <c r="R19" s="47" t="s">
        <v>39</v>
      </c>
      <c r="S19" s="50" t="s">
        <v>45</v>
      </c>
      <c r="T19" s="47" t="s">
        <v>79</v>
      </c>
      <c r="U19" s="47" t="s">
        <v>37</v>
      </c>
      <c r="V19" s="47" t="s">
        <v>37</v>
      </c>
      <c r="W19" s="47" t="s">
        <v>37</v>
      </c>
      <c r="X19" s="47" t="s">
        <v>37</v>
      </c>
      <c r="Y19" s="47" t="s">
        <v>44</v>
      </c>
      <c r="Z19" s="47" t="s">
        <v>37</v>
      </c>
      <c r="AA19" s="50" t="s">
        <v>51</v>
      </c>
      <c r="AC19" s="46" t="s">
        <v>123</v>
      </c>
      <c r="AD19" s="47" t="s">
        <v>126</v>
      </c>
      <c r="AE19" s="47" t="s">
        <v>127</v>
      </c>
      <c r="AF19" s="47" t="s">
        <v>128</v>
      </c>
      <c r="AG19" s="51" t="s">
        <v>43</v>
      </c>
      <c r="AH19" s="50" t="s">
        <v>51</v>
      </c>
      <c r="AJ19" s="22" t="s">
        <v>129</v>
      </c>
    </row>
    <row r="20" ht="14.25" customHeight="1"/>
    <row r="21" ht="14.25" customHeight="1">
      <c r="A21" s="52" t="s">
        <v>130</v>
      </c>
      <c r="B21" s="2"/>
      <c r="C21" s="2"/>
      <c r="D21" s="2"/>
      <c r="E21" s="2"/>
      <c r="F21" s="53"/>
      <c r="G21" s="54"/>
      <c r="H21" s="55"/>
      <c r="J21" s="56" t="s">
        <v>130</v>
      </c>
      <c r="K21" s="57"/>
      <c r="L21" s="58"/>
      <c r="M21" s="52" t="s">
        <v>130</v>
      </c>
      <c r="N21" s="2"/>
      <c r="O21" s="2"/>
      <c r="P21" s="2"/>
      <c r="Q21" s="2"/>
      <c r="R21" s="2"/>
      <c r="S21" s="2"/>
      <c r="T21" s="2"/>
      <c r="U21" s="2"/>
      <c r="V21" s="2"/>
      <c r="W21" s="2"/>
      <c r="X21" s="2"/>
      <c r="Y21" s="2"/>
      <c r="Z21" s="2"/>
      <c r="AA21" s="59"/>
      <c r="AC21" s="30" t="s">
        <v>130</v>
      </c>
      <c r="AD21" s="31"/>
      <c r="AE21" s="31"/>
      <c r="AF21" s="31"/>
      <c r="AG21" s="31"/>
      <c r="AH21" s="32"/>
    </row>
    <row r="22" ht="14.25" customHeight="1">
      <c r="A22" s="60" t="s">
        <v>131</v>
      </c>
      <c r="B22" s="61" t="s">
        <v>132</v>
      </c>
      <c r="C22" s="62" t="s">
        <v>68</v>
      </c>
      <c r="D22" s="61" t="s">
        <v>37</v>
      </c>
      <c r="E22" s="63" t="s">
        <v>133</v>
      </c>
      <c r="F22" s="61">
        <v>400.0</v>
      </c>
      <c r="G22" s="61" t="s">
        <v>43</v>
      </c>
      <c r="H22" s="64" t="s">
        <v>51</v>
      </c>
      <c r="J22" s="60" t="s">
        <v>131</v>
      </c>
      <c r="K22" s="65" t="s">
        <v>134</v>
      </c>
      <c r="L22" s="66"/>
      <c r="M22" s="60" t="s">
        <v>131</v>
      </c>
      <c r="N22" s="61" t="s">
        <v>37</v>
      </c>
      <c r="O22" s="61" t="s">
        <v>54</v>
      </c>
      <c r="P22" s="61" t="s">
        <v>55</v>
      </c>
      <c r="Q22" s="61" t="s">
        <v>37</v>
      </c>
      <c r="R22" s="67" t="s">
        <v>56</v>
      </c>
      <c r="S22" s="37" t="s">
        <v>51</v>
      </c>
      <c r="T22" s="33" t="s">
        <v>69</v>
      </c>
      <c r="U22" s="3" t="s">
        <v>37</v>
      </c>
      <c r="V22" s="61" t="s">
        <v>43</v>
      </c>
      <c r="W22" s="61" t="s">
        <v>37</v>
      </c>
      <c r="X22" s="61" t="s">
        <v>37</v>
      </c>
      <c r="Y22" s="61" t="s">
        <v>43</v>
      </c>
      <c r="Z22" s="61" t="s">
        <v>37</v>
      </c>
      <c r="AA22" s="37" t="s">
        <v>51</v>
      </c>
      <c r="AC22" s="60" t="s">
        <v>131</v>
      </c>
      <c r="AD22" s="68" t="s">
        <v>135</v>
      </c>
      <c r="AE22" s="3" t="s">
        <v>43</v>
      </c>
      <c r="AF22" s="3" t="s">
        <v>43</v>
      </c>
      <c r="AG22" s="3" t="s">
        <v>43</v>
      </c>
      <c r="AH22" s="37" t="s">
        <v>40</v>
      </c>
      <c r="AJ22" s="69" t="s">
        <v>136</v>
      </c>
    </row>
    <row r="23" ht="14.25" customHeight="1">
      <c r="A23" s="70" t="s">
        <v>116</v>
      </c>
      <c r="B23" s="43" t="s">
        <v>137</v>
      </c>
      <c r="C23" s="69" t="s">
        <v>68</v>
      </c>
      <c r="D23" s="43" t="s">
        <v>37</v>
      </c>
      <c r="E23" s="22" t="s">
        <v>138</v>
      </c>
      <c r="F23" s="43">
        <v>155.0</v>
      </c>
      <c r="G23" s="43" t="s">
        <v>43</v>
      </c>
      <c r="H23" s="71" t="s">
        <v>51</v>
      </c>
      <c r="J23" s="70" t="s">
        <v>116</v>
      </c>
      <c r="K23" s="72" t="s">
        <v>139</v>
      </c>
      <c r="M23" s="70" t="s">
        <v>116</v>
      </c>
      <c r="N23" s="43" t="s">
        <v>37</v>
      </c>
      <c r="O23" s="43" t="s">
        <v>54</v>
      </c>
      <c r="P23" s="43" t="s">
        <v>55</v>
      </c>
      <c r="Q23" s="43" t="s">
        <v>37</v>
      </c>
      <c r="R23" s="73" t="s">
        <v>56</v>
      </c>
      <c r="S23" s="39" t="s">
        <v>51</v>
      </c>
      <c r="T23" s="70" t="s">
        <v>69</v>
      </c>
      <c r="U23" s="43" t="s">
        <v>37</v>
      </c>
      <c r="V23" s="43" t="s">
        <v>43</v>
      </c>
      <c r="W23" s="43" t="s">
        <v>37</v>
      </c>
      <c r="X23" s="43" t="s">
        <v>37</v>
      </c>
      <c r="Y23" s="43" t="s">
        <v>37</v>
      </c>
      <c r="Z23" s="43" t="s">
        <v>37</v>
      </c>
      <c r="AA23" s="39" t="s">
        <v>51</v>
      </c>
      <c r="AC23" s="70" t="s">
        <v>116</v>
      </c>
      <c r="AD23" s="74" t="s">
        <v>140</v>
      </c>
      <c r="AE23" s="22" t="s">
        <v>43</v>
      </c>
      <c r="AF23" s="22" t="s">
        <v>43</v>
      </c>
      <c r="AG23" s="22" t="s">
        <v>43</v>
      </c>
      <c r="AH23" s="39" t="s">
        <v>40</v>
      </c>
      <c r="AJ23" s="40" t="s">
        <v>141</v>
      </c>
    </row>
    <row r="24" ht="14.25" customHeight="1">
      <c r="A24" s="70" t="s">
        <v>142</v>
      </c>
      <c r="B24" s="43" t="s">
        <v>143</v>
      </c>
      <c r="C24" s="69" t="s">
        <v>37</v>
      </c>
      <c r="D24" s="43" t="s">
        <v>37</v>
      </c>
      <c r="E24" s="43" t="s">
        <v>144</v>
      </c>
      <c r="F24" s="43">
        <v>200.0</v>
      </c>
      <c r="G24" s="43" t="s">
        <v>43</v>
      </c>
      <c r="H24" s="71" t="s">
        <v>51</v>
      </c>
      <c r="J24" s="70" t="s">
        <v>142</v>
      </c>
      <c r="K24" s="72" t="s">
        <v>145</v>
      </c>
      <c r="L24" s="43"/>
      <c r="M24" s="70" t="s">
        <v>142</v>
      </c>
      <c r="N24" s="43" t="s">
        <v>37</v>
      </c>
      <c r="O24" s="43" t="s">
        <v>39</v>
      </c>
      <c r="P24" s="43" t="s">
        <v>55</v>
      </c>
      <c r="Q24" s="43" t="s">
        <v>43</v>
      </c>
      <c r="R24" s="73" t="s">
        <v>87</v>
      </c>
      <c r="S24" s="39" t="s">
        <v>45</v>
      </c>
      <c r="T24" s="70" t="s">
        <v>69</v>
      </c>
      <c r="U24" s="43" t="s">
        <v>37</v>
      </c>
      <c r="V24" s="43" t="s">
        <v>43</v>
      </c>
      <c r="W24" s="43" t="s">
        <v>37</v>
      </c>
      <c r="X24" s="43" t="s">
        <v>37</v>
      </c>
      <c r="Y24" s="22" t="s">
        <v>44</v>
      </c>
      <c r="Z24" s="43" t="s">
        <v>37</v>
      </c>
      <c r="AA24" s="39" t="s">
        <v>51</v>
      </c>
      <c r="AC24" s="70" t="s">
        <v>142</v>
      </c>
      <c r="AD24" s="22" t="s">
        <v>43</v>
      </c>
      <c r="AE24" s="22" t="s">
        <v>43</v>
      </c>
      <c r="AF24" s="11" t="s">
        <v>146</v>
      </c>
      <c r="AG24" s="22" t="s">
        <v>43</v>
      </c>
      <c r="AH24" s="39" t="s">
        <v>40</v>
      </c>
      <c r="AJ24" s="22" t="s">
        <v>147</v>
      </c>
    </row>
    <row r="25" ht="14.25" customHeight="1">
      <c r="A25" s="75" t="s">
        <v>148</v>
      </c>
      <c r="B25" s="76" t="s">
        <v>149</v>
      </c>
      <c r="C25" s="77" t="s">
        <v>68</v>
      </c>
      <c r="D25" s="43" t="s">
        <v>37</v>
      </c>
      <c r="E25" s="43" t="s">
        <v>38</v>
      </c>
      <c r="F25" s="22" t="s">
        <v>44</v>
      </c>
      <c r="G25" s="43" t="s">
        <v>43</v>
      </c>
      <c r="H25" s="71" t="s">
        <v>40</v>
      </c>
      <c r="J25" s="75" t="s">
        <v>148</v>
      </c>
      <c r="K25" s="72" t="s">
        <v>150</v>
      </c>
      <c r="L25" s="43"/>
      <c r="M25" s="75" t="s">
        <v>148</v>
      </c>
      <c r="N25" s="43" t="s">
        <v>37</v>
      </c>
      <c r="O25" s="43" t="s">
        <v>39</v>
      </c>
      <c r="P25" s="43" t="s">
        <v>55</v>
      </c>
      <c r="Q25" s="43" t="s">
        <v>43</v>
      </c>
      <c r="R25" s="73" t="s">
        <v>87</v>
      </c>
      <c r="S25" s="39" t="s">
        <v>45</v>
      </c>
      <c r="T25" s="70" t="s">
        <v>151</v>
      </c>
      <c r="U25" s="43" t="s">
        <v>37</v>
      </c>
      <c r="V25" s="43" t="s">
        <v>43</v>
      </c>
      <c r="W25" s="43" t="s">
        <v>37</v>
      </c>
      <c r="X25" s="43" t="s">
        <v>43</v>
      </c>
      <c r="Y25" s="43" t="s">
        <v>43</v>
      </c>
      <c r="Z25" s="43" t="s">
        <v>43</v>
      </c>
      <c r="AA25" s="39" t="s">
        <v>45</v>
      </c>
      <c r="AC25" s="75" t="s">
        <v>148</v>
      </c>
      <c r="AD25" s="22" t="s">
        <v>43</v>
      </c>
      <c r="AE25" s="22" t="s">
        <v>43</v>
      </c>
      <c r="AF25" s="11" t="s">
        <v>152</v>
      </c>
      <c r="AG25" s="22" t="s">
        <v>43</v>
      </c>
      <c r="AH25" s="39" t="s">
        <v>40</v>
      </c>
      <c r="AJ25" s="22" t="s">
        <v>153</v>
      </c>
    </row>
    <row r="26" ht="14.25" customHeight="1">
      <c r="A26" s="70" t="s">
        <v>154</v>
      </c>
      <c r="B26" s="43" t="s">
        <v>155</v>
      </c>
      <c r="C26" s="69" t="s">
        <v>68</v>
      </c>
      <c r="D26" s="43" t="s">
        <v>37</v>
      </c>
      <c r="E26" s="43" t="s">
        <v>38</v>
      </c>
      <c r="F26" s="22" t="s">
        <v>44</v>
      </c>
      <c r="G26" s="43" t="s">
        <v>43</v>
      </c>
      <c r="H26" s="71" t="s">
        <v>40</v>
      </c>
      <c r="J26" s="70" t="s">
        <v>154</v>
      </c>
      <c r="K26" s="72" t="s">
        <v>156</v>
      </c>
      <c r="L26" s="43"/>
      <c r="M26" s="70" t="s">
        <v>154</v>
      </c>
      <c r="N26" s="43" t="s">
        <v>37</v>
      </c>
      <c r="O26" s="22" t="s">
        <v>39</v>
      </c>
      <c r="P26" s="43" t="s">
        <v>55</v>
      </c>
      <c r="Q26" s="43" t="s">
        <v>43</v>
      </c>
      <c r="R26" s="73" t="s">
        <v>157</v>
      </c>
      <c r="S26" s="39" t="s">
        <v>45</v>
      </c>
      <c r="T26" s="36" t="s">
        <v>39</v>
      </c>
      <c r="U26" s="22" t="s">
        <v>39</v>
      </c>
      <c r="V26" s="43" t="s">
        <v>37</v>
      </c>
      <c r="W26" s="22" t="s">
        <v>39</v>
      </c>
      <c r="X26" s="22" t="s">
        <v>39</v>
      </c>
      <c r="Y26" s="22" t="s">
        <v>44</v>
      </c>
      <c r="Z26" s="22" t="s">
        <v>39</v>
      </c>
      <c r="AA26" s="39" t="s">
        <v>45</v>
      </c>
      <c r="AC26" s="70" t="s">
        <v>154</v>
      </c>
      <c r="AD26" s="22" t="s">
        <v>43</v>
      </c>
      <c r="AE26" s="22" t="s">
        <v>43</v>
      </c>
      <c r="AF26" s="22" t="s">
        <v>43</v>
      </c>
      <c r="AG26" s="22" t="s">
        <v>43</v>
      </c>
      <c r="AH26" s="39" t="s">
        <v>45</v>
      </c>
      <c r="AJ26" s="40" t="s">
        <v>158</v>
      </c>
    </row>
    <row r="27" ht="14.25" customHeight="1">
      <c r="A27" s="70" t="s">
        <v>159</v>
      </c>
      <c r="B27" s="43" t="s">
        <v>160</v>
      </c>
      <c r="C27" s="69" t="s">
        <v>68</v>
      </c>
      <c r="D27" s="43" t="s">
        <v>37</v>
      </c>
      <c r="E27" s="78" t="s">
        <v>161</v>
      </c>
      <c r="F27" s="43">
        <v>40.0</v>
      </c>
      <c r="G27" s="43" t="s">
        <v>43</v>
      </c>
      <c r="H27" s="71" t="s">
        <v>51</v>
      </c>
      <c r="J27" s="70" t="s">
        <v>159</v>
      </c>
      <c r="K27" s="72" t="s">
        <v>162</v>
      </c>
      <c r="L27" s="43"/>
      <c r="M27" s="70" t="s">
        <v>159</v>
      </c>
      <c r="N27" s="43" t="s">
        <v>43</v>
      </c>
      <c r="O27" s="43" t="s">
        <v>163</v>
      </c>
      <c r="P27" s="43" t="s">
        <v>55</v>
      </c>
      <c r="Q27" s="43" t="s">
        <v>43</v>
      </c>
      <c r="R27" s="73" t="s">
        <v>56</v>
      </c>
      <c r="S27" s="39" t="s">
        <v>45</v>
      </c>
      <c r="T27" s="70" t="s">
        <v>69</v>
      </c>
      <c r="U27" s="43" t="s">
        <v>37</v>
      </c>
      <c r="V27" s="43" t="s">
        <v>43</v>
      </c>
      <c r="W27" s="43" t="s">
        <v>37</v>
      </c>
      <c r="X27" s="43" t="s">
        <v>37</v>
      </c>
      <c r="Y27" s="43" t="s">
        <v>37</v>
      </c>
      <c r="Z27" s="43" t="s">
        <v>37</v>
      </c>
      <c r="AA27" s="39" t="s">
        <v>51</v>
      </c>
      <c r="AC27" s="70" t="s">
        <v>159</v>
      </c>
      <c r="AD27" s="11" t="s">
        <v>164</v>
      </c>
      <c r="AE27" s="22" t="s">
        <v>43</v>
      </c>
      <c r="AF27" s="22" t="s">
        <v>43</v>
      </c>
      <c r="AG27" s="22" t="s">
        <v>43</v>
      </c>
      <c r="AH27" s="39" t="s">
        <v>40</v>
      </c>
      <c r="AJ27" s="22" t="s">
        <v>165</v>
      </c>
    </row>
    <row r="28" ht="14.25" customHeight="1">
      <c r="A28" s="70" t="s">
        <v>166</v>
      </c>
      <c r="B28" s="43" t="s">
        <v>167</v>
      </c>
      <c r="C28" s="69" t="s">
        <v>43</v>
      </c>
      <c r="D28" s="43" t="s">
        <v>43</v>
      </c>
      <c r="E28" s="43" t="s">
        <v>38</v>
      </c>
      <c r="F28" s="43" t="s">
        <v>168</v>
      </c>
      <c r="G28" s="43" t="s">
        <v>43</v>
      </c>
      <c r="H28" s="71" t="s">
        <v>45</v>
      </c>
      <c r="J28" s="70" t="s">
        <v>166</v>
      </c>
      <c r="K28" s="72" t="s">
        <v>169</v>
      </c>
      <c r="L28" s="43"/>
      <c r="M28" s="70" t="s">
        <v>166</v>
      </c>
      <c r="N28" s="43" t="s">
        <v>37</v>
      </c>
      <c r="O28" s="43" t="s">
        <v>54</v>
      </c>
      <c r="P28" s="43" t="s">
        <v>55</v>
      </c>
      <c r="Q28" s="43" t="s">
        <v>43</v>
      </c>
      <c r="R28" s="38" t="s">
        <v>39</v>
      </c>
      <c r="S28" s="39" t="s">
        <v>45</v>
      </c>
      <c r="T28" s="36" t="s">
        <v>39</v>
      </c>
      <c r="U28" s="22" t="s">
        <v>39</v>
      </c>
      <c r="V28" s="43" t="s">
        <v>43</v>
      </c>
      <c r="W28" s="43" t="s">
        <v>37</v>
      </c>
      <c r="X28" s="43" t="s">
        <v>43</v>
      </c>
      <c r="Y28" s="43" t="s">
        <v>43</v>
      </c>
      <c r="Z28" s="43" t="s">
        <v>43</v>
      </c>
      <c r="AA28" s="39" t="s">
        <v>45</v>
      </c>
      <c r="AC28" s="70" t="s">
        <v>166</v>
      </c>
      <c r="AD28" s="22" t="s">
        <v>43</v>
      </c>
      <c r="AE28" s="22" t="s">
        <v>43</v>
      </c>
      <c r="AF28" s="22" t="s">
        <v>43</v>
      </c>
      <c r="AG28" s="22" t="s">
        <v>43</v>
      </c>
      <c r="AH28" s="39" t="s">
        <v>45</v>
      </c>
    </row>
    <row r="29" ht="14.25" customHeight="1">
      <c r="A29" s="70" t="s">
        <v>170</v>
      </c>
      <c r="B29" s="43" t="s">
        <v>167</v>
      </c>
      <c r="C29" s="69" t="s">
        <v>43</v>
      </c>
      <c r="D29" s="43" t="s">
        <v>43</v>
      </c>
      <c r="E29" s="43" t="s">
        <v>38</v>
      </c>
      <c r="F29" s="22" t="s">
        <v>44</v>
      </c>
      <c r="G29" s="43" t="s">
        <v>43</v>
      </c>
      <c r="H29" s="71" t="s">
        <v>45</v>
      </c>
      <c r="J29" s="70" t="s">
        <v>170</v>
      </c>
      <c r="K29" s="72" t="s">
        <v>75</v>
      </c>
      <c r="L29" s="43"/>
      <c r="M29" s="70" t="s">
        <v>170</v>
      </c>
      <c r="N29" s="43" t="s">
        <v>43</v>
      </c>
      <c r="O29" s="22" t="s">
        <v>39</v>
      </c>
      <c r="P29" s="43" t="s">
        <v>55</v>
      </c>
      <c r="Q29" s="22" t="s">
        <v>39</v>
      </c>
      <c r="R29" s="38" t="s">
        <v>39</v>
      </c>
      <c r="S29" s="39" t="s">
        <v>45</v>
      </c>
      <c r="T29" s="36" t="s">
        <v>39</v>
      </c>
      <c r="U29" s="22" t="s">
        <v>39</v>
      </c>
      <c r="V29" s="43" t="s">
        <v>43</v>
      </c>
      <c r="W29" s="22" t="s">
        <v>39</v>
      </c>
      <c r="X29" s="22" t="s">
        <v>39</v>
      </c>
      <c r="Y29" s="22" t="s">
        <v>44</v>
      </c>
      <c r="Z29" s="22" t="s">
        <v>39</v>
      </c>
      <c r="AA29" s="39" t="s">
        <v>45</v>
      </c>
      <c r="AC29" s="70" t="s">
        <v>170</v>
      </c>
      <c r="AD29" s="22" t="s">
        <v>43</v>
      </c>
      <c r="AE29" s="22" t="s">
        <v>43</v>
      </c>
      <c r="AF29" s="22" t="s">
        <v>43</v>
      </c>
      <c r="AG29" s="22" t="s">
        <v>43</v>
      </c>
      <c r="AH29" s="39" t="s">
        <v>45</v>
      </c>
    </row>
    <row r="30" ht="14.25" customHeight="1">
      <c r="A30" s="70" t="s">
        <v>171</v>
      </c>
      <c r="B30" s="43" t="s">
        <v>172</v>
      </c>
      <c r="C30" s="69" t="s">
        <v>43</v>
      </c>
      <c r="D30" s="43" t="s">
        <v>43</v>
      </c>
      <c r="E30" s="43" t="s">
        <v>38</v>
      </c>
      <c r="F30" s="22" t="s">
        <v>44</v>
      </c>
      <c r="G30" s="43" t="s">
        <v>43</v>
      </c>
      <c r="H30" s="71" t="s">
        <v>45</v>
      </c>
      <c r="J30" s="70" t="s">
        <v>171</v>
      </c>
      <c r="K30" s="72" t="s">
        <v>75</v>
      </c>
      <c r="L30" s="43"/>
      <c r="M30" s="70" t="s">
        <v>171</v>
      </c>
      <c r="N30" s="43" t="s">
        <v>43</v>
      </c>
      <c r="O30" s="22" t="s">
        <v>39</v>
      </c>
      <c r="P30" s="22" t="s">
        <v>44</v>
      </c>
      <c r="Q30" s="22" t="s">
        <v>39</v>
      </c>
      <c r="R30" s="38" t="s">
        <v>39</v>
      </c>
      <c r="S30" s="39" t="s">
        <v>45</v>
      </c>
      <c r="T30" s="36" t="s">
        <v>39</v>
      </c>
      <c r="U30" s="22" t="s">
        <v>39</v>
      </c>
      <c r="V30" s="43" t="s">
        <v>43</v>
      </c>
      <c r="W30" s="22" t="s">
        <v>39</v>
      </c>
      <c r="X30" s="22" t="s">
        <v>39</v>
      </c>
      <c r="Y30" s="22" t="s">
        <v>44</v>
      </c>
      <c r="Z30" s="22" t="s">
        <v>39</v>
      </c>
      <c r="AA30" s="39" t="s">
        <v>45</v>
      </c>
      <c r="AC30" s="70" t="s">
        <v>171</v>
      </c>
      <c r="AD30" s="22" t="s">
        <v>43</v>
      </c>
      <c r="AE30" s="22" t="s">
        <v>43</v>
      </c>
      <c r="AF30" s="22" t="s">
        <v>43</v>
      </c>
      <c r="AG30" s="22" t="s">
        <v>43</v>
      </c>
      <c r="AH30" s="39" t="s">
        <v>45</v>
      </c>
    </row>
    <row r="31" ht="14.25" customHeight="1">
      <c r="A31" s="79" t="s">
        <v>173</v>
      </c>
      <c r="B31" s="80" t="s">
        <v>167</v>
      </c>
      <c r="C31" s="81" t="s">
        <v>43</v>
      </c>
      <c r="D31" s="82" t="s">
        <v>43</v>
      </c>
      <c r="E31" s="82" t="s">
        <v>38</v>
      </c>
      <c r="F31" s="47" t="s">
        <v>44</v>
      </c>
      <c r="G31" s="82" t="s">
        <v>43</v>
      </c>
      <c r="H31" s="83" t="s">
        <v>45</v>
      </c>
      <c r="J31" s="79" t="s">
        <v>173</v>
      </c>
      <c r="K31" s="84" t="s">
        <v>75</v>
      </c>
      <c r="L31" s="43"/>
      <c r="M31" s="79" t="s">
        <v>173</v>
      </c>
      <c r="N31" s="80" t="s">
        <v>43</v>
      </c>
      <c r="O31" s="47" t="s">
        <v>39</v>
      </c>
      <c r="P31" s="47" t="s">
        <v>44</v>
      </c>
      <c r="Q31" s="47" t="s">
        <v>39</v>
      </c>
      <c r="R31" s="51" t="s">
        <v>39</v>
      </c>
      <c r="S31" s="50" t="s">
        <v>45</v>
      </c>
      <c r="T31" s="46" t="s">
        <v>39</v>
      </c>
      <c r="U31" s="47" t="s">
        <v>39</v>
      </c>
      <c r="V31" s="80" t="s">
        <v>43</v>
      </c>
      <c r="W31" s="47" t="s">
        <v>39</v>
      </c>
      <c r="X31" s="47" t="s">
        <v>39</v>
      </c>
      <c r="Y31" s="47" t="s">
        <v>44</v>
      </c>
      <c r="Z31" s="51" t="s">
        <v>39</v>
      </c>
      <c r="AA31" s="50" t="s">
        <v>45</v>
      </c>
      <c r="AC31" s="79" t="s">
        <v>173</v>
      </c>
      <c r="AD31" s="47" t="s">
        <v>43</v>
      </c>
      <c r="AE31" s="47" t="s">
        <v>43</v>
      </c>
      <c r="AF31" s="47" t="s">
        <v>43</v>
      </c>
      <c r="AG31" s="47" t="s">
        <v>43</v>
      </c>
      <c r="AH31" s="50" t="s">
        <v>45</v>
      </c>
    </row>
    <row r="32" ht="14.25" customHeight="1"/>
    <row r="33" ht="14.25" customHeight="1">
      <c r="A33" s="25" t="s">
        <v>174</v>
      </c>
      <c r="B33" s="31"/>
      <c r="C33" s="31"/>
      <c r="D33" s="27"/>
      <c r="E33" s="27"/>
      <c r="F33" s="27"/>
      <c r="G33" s="28"/>
      <c r="H33" s="29"/>
      <c r="J33" s="85" t="s">
        <v>174</v>
      </c>
      <c r="K33" s="86"/>
      <c r="M33" s="25" t="s">
        <v>174</v>
      </c>
      <c r="N33" s="31"/>
      <c r="O33" s="27"/>
      <c r="P33" s="27"/>
      <c r="Q33" s="27"/>
      <c r="R33" s="28"/>
      <c r="S33" s="28"/>
      <c r="T33" s="31"/>
      <c r="U33" s="31"/>
      <c r="V33" s="31"/>
      <c r="W33" s="27"/>
      <c r="X33" s="27"/>
      <c r="Y33" s="27"/>
      <c r="Z33" s="28"/>
      <c r="AA33" s="29"/>
      <c r="AC33" s="25" t="s">
        <v>175</v>
      </c>
      <c r="AD33" s="31"/>
      <c r="AE33" s="31"/>
      <c r="AF33" s="31"/>
      <c r="AG33" s="31"/>
      <c r="AH33" s="32"/>
    </row>
    <row r="34" ht="14.25" customHeight="1">
      <c r="A34" s="36" t="s">
        <v>176</v>
      </c>
      <c r="B34" s="22" t="s">
        <v>92</v>
      </c>
      <c r="C34" s="69" t="s">
        <v>43</v>
      </c>
      <c r="D34" s="22" t="s">
        <v>37</v>
      </c>
      <c r="E34" s="22" t="s">
        <v>38</v>
      </c>
      <c r="F34" s="22" t="s">
        <v>44</v>
      </c>
      <c r="G34" s="22" t="s">
        <v>43</v>
      </c>
      <c r="H34" s="41" t="s">
        <v>40</v>
      </c>
      <c r="J34" s="36" t="s">
        <v>176</v>
      </c>
      <c r="K34" s="87" t="s">
        <v>177</v>
      </c>
      <c r="M34" s="36" t="s">
        <v>176</v>
      </c>
      <c r="N34" s="22" t="s">
        <v>37</v>
      </c>
      <c r="O34" s="22" t="s">
        <v>39</v>
      </c>
      <c r="P34" s="22" t="s">
        <v>104</v>
      </c>
      <c r="Q34" s="22" t="s">
        <v>39</v>
      </c>
      <c r="R34" s="38" t="s">
        <v>39</v>
      </c>
      <c r="S34" s="39" t="s">
        <v>45</v>
      </c>
      <c r="T34" s="22" t="s">
        <v>39</v>
      </c>
      <c r="U34" s="22" t="s">
        <v>39</v>
      </c>
      <c r="V34" s="22" t="s">
        <v>43</v>
      </c>
      <c r="W34" s="22" t="s">
        <v>37</v>
      </c>
      <c r="X34" s="22" t="s">
        <v>37</v>
      </c>
      <c r="Y34" s="22" t="s">
        <v>44</v>
      </c>
      <c r="Z34" s="22" t="s">
        <v>44</v>
      </c>
      <c r="AA34" s="41" t="s">
        <v>45</v>
      </c>
      <c r="AC34" s="36" t="s">
        <v>176</v>
      </c>
      <c r="AD34" s="22" t="s">
        <v>43</v>
      </c>
      <c r="AE34" s="22" t="s">
        <v>43</v>
      </c>
      <c r="AF34" s="22" t="s">
        <v>43</v>
      </c>
      <c r="AG34" s="22" t="s">
        <v>43</v>
      </c>
      <c r="AH34" s="39" t="s">
        <v>45</v>
      </c>
    </row>
    <row r="35" ht="14.25" customHeight="1">
      <c r="A35" s="36" t="s">
        <v>178</v>
      </c>
      <c r="B35" s="22" t="s">
        <v>61</v>
      </c>
      <c r="C35" s="22" t="s">
        <v>43</v>
      </c>
      <c r="D35" s="69" t="s">
        <v>43</v>
      </c>
      <c r="E35" s="22" t="s">
        <v>38</v>
      </c>
      <c r="F35" s="22" t="s">
        <v>44</v>
      </c>
      <c r="G35" s="22" t="s">
        <v>43</v>
      </c>
      <c r="H35" s="41" t="s">
        <v>45</v>
      </c>
      <c r="J35" s="36" t="s">
        <v>178</v>
      </c>
      <c r="K35" s="42" t="s">
        <v>179</v>
      </c>
      <c r="M35" s="36" t="s">
        <v>178</v>
      </c>
      <c r="N35" s="22" t="s">
        <v>43</v>
      </c>
      <c r="O35" s="22" t="s">
        <v>39</v>
      </c>
      <c r="P35" s="22" t="s">
        <v>44</v>
      </c>
      <c r="Q35" s="22" t="s">
        <v>39</v>
      </c>
      <c r="R35" s="38" t="s">
        <v>39</v>
      </c>
      <c r="S35" s="39" t="s">
        <v>45</v>
      </c>
      <c r="T35" s="36" t="s">
        <v>39</v>
      </c>
      <c r="U35" s="22" t="s">
        <v>39</v>
      </c>
      <c r="V35" s="22" t="s">
        <v>43</v>
      </c>
      <c r="W35" s="22" t="s">
        <v>44</v>
      </c>
      <c r="X35" s="22" t="s">
        <v>44</v>
      </c>
      <c r="Y35" s="22" t="s">
        <v>44</v>
      </c>
      <c r="Z35" s="22" t="s">
        <v>44</v>
      </c>
      <c r="AA35" s="41" t="s">
        <v>45</v>
      </c>
      <c r="AC35" s="36" t="s">
        <v>178</v>
      </c>
      <c r="AD35" s="22" t="s">
        <v>43</v>
      </c>
      <c r="AE35" s="22" t="s">
        <v>43</v>
      </c>
      <c r="AF35" s="22" t="s">
        <v>43</v>
      </c>
      <c r="AG35" s="22" t="s">
        <v>43</v>
      </c>
      <c r="AH35" s="39" t="s">
        <v>45</v>
      </c>
    </row>
    <row r="36" ht="14.25" customHeight="1">
      <c r="A36" s="36" t="s">
        <v>180</v>
      </c>
      <c r="B36" s="22" t="s">
        <v>181</v>
      </c>
      <c r="C36" s="22" t="s">
        <v>43</v>
      </c>
      <c r="D36" s="69" t="s">
        <v>43</v>
      </c>
      <c r="E36" s="22" t="s">
        <v>38</v>
      </c>
      <c r="F36" s="22" t="s">
        <v>44</v>
      </c>
      <c r="G36" s="22" t="s">
        <v>43</v>
      </c>
      <c r="H36" s="41" t="s">
        <v>45</v>
      </c>
      <c r="J36" s="36" t="s">
        <v>180</v>
      </c>
      <c r="K36" s="42" t="s">
        <v>75</v>
      </c>
      <c r="M36" s="36" t="s">
        <v>180</v>
      </c>
      <c r="N36" s="22" t="s">
        <v>43</v>
      </c>
      <c r="O36" s="22" t="s">
        <v>39</v>
      </c>
      <c r="P36" s="22" t="s">
        <v>44</v>
      </c>
      <c r="Q36" s="22" t="s">
        <v>39</v>
      </c>
      <c r="R36" s="38" t="s">
        <v>39</v>
      </c>
      <c r="S36" s="39" t="s">
        <v>45</v>
      </c>
      <c r="T36" s="36" t="s">
        <v>39</v>
      </c>
      <c r="U36" s="22" t="s">
        <v>39</v>
      </c>
      <c r="V36" s="22" t="s">
        <v>37</v>
      </c>
      <c r="W36" s="22" t="s">
        <v>44</v>
      </c>
      <c r="X36" s="22" t="s">
        <v>44</v>
      </c>
      <c r="Y36" s="22" t="s">
        <v>44</v>
      </c>
      <c r="Z36" s="22" t="s">
        <v>44</v>
      </c>
      <c r="AA36" s="41" t="s">
        <v>45</v>
      </c>
      <c r="AC36" s="36" t="s">
        <v>180</v>
      </c>
      <c r="AD36" s="22" t="s">
        <v>43</v>
      </c>
      <c r="AE36" s="22" t="s">
        <v>43</v>
      </c>
      <c r="AF36" s="22" t="s">
        <v>43</v>
      </c>
      <c r="AG36" s="22" t="s">
        <v>43</v>
      </c>
      <c r="AH36" s="39" t="s">
        <v>45</v>
      </c>
    </row>
    <row r="37" ht="14.25" customHeight="1">
      <c r="A37" s="36" t="s">
        <v>182</v>
      </c>
      <c r="B37" s="22" t="s">
        <v>96</v>
      </c>
      <c r="C37" s="22" t="s">
        <v>43</v>
      </c>
      <c r="D37" s="22" t="s">
        <v>37</v>
      </c>
      <c r="E37" s="22" t="s">
        <v>38</v>
      </c>
      <c r="F37" s="22" t="s">
        <v>44</v>
      </c>
      <c r="G37" s="22" t="s">
        <v>43</v>
      </c>
      <c r="H37" s="41" t="s">
        <v>40</v>
      </c>
      <c r="J37" s="36" t="s">
        <v>182</v>
      </c>
      <c r="K37" s="42" t="s">
        <v>183</v>
      </c>
      <c r="M37" s="36" t="s">
        <v>182</v>
      </c>
      <c r="N37" s="22" t="s">
        <v>37</v>
      </c>
      <c r="O37" s="22" t="s">
        <v>39</v>
      </c>
      <c r="P37" s="22" t="s">
        <v>104</v>
      </c>
      <c r="Q37" s="22" t="s">
        <v>39</v>
      </c>
      <c r="R37" s="38" t="s">
        <v>39</v>
      </c>
      <c r="S37" s="39" t="s">
        <v>45</v>
      </c>
      <c r="T37" s="36" t="s">
        <v>39</v>
      </c>
      <c r="U37" s="22" t="s">
        <v>39</v>
      </c>
      <c r="V37" s="22" t="s">
        <v>37</v>
      </c>
      <c r="W37" s="22" t="s">
        <v>37</v>
      </c>
      <c r="X37" s="22" t="s">
        <v>37</v>
      </c>
      <c r="Y37" s="22" t="s">
        <v>44</v>
      </c>
      <c r="Z37" s="22" t="s">
        <v>44</v>
      </c>
      <c r="AA37" s="41" t="s">
        <v>45</v>
      </c>
      <c r="AC37" s="36" t="s">
        <v>182</v>
      </c>
      <c r="AD37" s="11" t="s">
        <v>184</v>
      </c>
      <c r="AE37" s="22" t="s">
        <v>43</v>
      </c>
      <c r="AF37" s="22" t="s">
        <v>43</v>
      </c>
      <c r="AG37" s="22" t="s">
        <v>43</v>
      </c>
      <c r="AH37" s="39" t="s">
        <v>40</v>
      </c>
    </row>
    <row r="38" ht="14.25" customHeight="1">
      <c r="A38" s="36" t="s">
        <v>185</v>
      </c>
      <c r="B38" s="22" t="s">
        <v>186</v>
      </c>
      <c r="C38" s="22" t="s">
        <v>37</v>
      </c>
      <c r="D38" s="22" t="s">
        <v>37</v>
      </c>
      <c r="E38" s="22" t="s">
        <v>38</v>
      </c>
      <c r="F38" s="22">
        <v>137.0</v>
      </c>
      <c r="G38" s="22" t="s">
        <v>43</v>
      </c>
      <c r="H38" s="41" t="s">
        <v>40</v>
      </c>
      <c r="J38" s="36" t="s">
        <v>185</v>
      </c>
      <c r="K38" s="42" t="s">
        <v>187</v>
      </c>
      <c r="M38" s="36" t="s">
        <v>185</v>
      </c>
      <c r="N38" s="22" t="s">
        <v>37</v>
      </c>
      <c r="O38" s="22" t="s">
        <v>39</v>
      </c>
      <c r="P38" s="22" t="s">
        <v>104</v>
      </c>
      <c r="Q38" s="22" t="s">
        <v>39</v>
      </c>
      <c r="R38" s="38" t="s">
        <v>39</v>
      </c>
      <c r="S38" s="39" t="s">
        <v>45</v>
      </c>
      <c r="T38" s="70" t="s">
        <v>151</v>
      </c>
      <c r="U38" s="22" t="s">
        <v>37</v>
      </c>
      <c r="V38" s="22" t="s">
        <v>43</v>
      </c>
      <c r="W38" s="22" t="s">
        <v>37</v>
      </c>
      <c r="X38" s="22" t="s">
        <v>37</v>
      </c>
      <c r="Y38" s="22" t="s">
        <v>44</v>
      </c>
      <c r="Z38" s="22" t="s">
        <v>44</v>
      </c>
      <c r="AA38" s="41" t="s">
        <v>45</v>
      </c>
      <c r="AC38" s="36" t="s">
        <v>185</v>
      </c>
      <c r="AD38" s="11" t="s">
        <v>188</v>
      </c>
      <c r="AE38" s="22" t="s">
        <v>43</v>
      </c>
      <c r="AF38" s="22" t="s">
        <v>43</v>
      </c>
      <c r="AG38" s="22" t="s">
        <v>43</v>
      </c>
      <c r="AH38" s="39" t="s">
        <v>40</v>
      </c>
    </row>
    <row r="39" ht="14.25" customHeight="1">
      <c r="A39" s="36" t="s">
        <v>189</v>
      </c>
      <c r="B39" s="22" t="s">
        <v>190</v>
      </c>
      <c r="C39" s="22" t="s">
        <v>37</v>
      </c>
      <c r="D39" s="22" t="s">
        <v>43</v>
      </c>
      <c r="E39" s="22" t="s">
        <v>38</v>
      </c>
      <c r="F39" s="22" t="s">
        <v>44</v>
      </c>
      <c r="G39" s="22" t="s">
        <v>43</v>
      </c>
      <c r="H39" s="41" t="s">
        <v>40</v>
      </c>
      <c r="J39" s="36" t="s">
        <v>191</v>
      </c>
      <c r="K39" s="42" t="s">
        <v>192</v>
      </c>
      <c r="M39" s="36" t="s">
        <v>191</v>
      </c>
      <c r="N39" s="22" t="s">
        <v>43</v>
      </c>
      <c r="O39" s="22" t="s">
        <v>39</v>
      </c>
      <c r="P39" s="22" t="s">
        <v>104</v>
      </c>
      <c r="Q39" s="22" t="s">
        <v>39</v>
      </c>
      <c r="R39" s="38" t="s">
        <v>39</v>
      </c>
      <c r="S39" s="39" t="s">
        <v>45</v>
      </c>
      <c r="T39" s="22" t="s">
        <v>151</v>
      </c>
      <c r="U39" s="22" t="s">
        <v>37</v>
      </c>
      <c r="V39" s="22" t="s">
        <v>43</v>
      </c>
      <c r="W39" s="22" t="s">
        <v>39</v>
      </c>
      <c r="X39" s="22" t="s">
        <v>39</v>
      </c>
      <c r="Y39" s="22" t="s">
        <v>39</v>
      </c>
      <c r="Z39" s="22" t="s">
        <v>39</v>
      </c>
      <c r="AA39" s="41" t="s">
        <v>45</v>
      </c>
      <c r="AC39" s="36" t="s">
        <v>191</v>
      </c>
      <c r="AD39" s="22" t="s">
        <v>43</v>
      </c>
      <c r="AE39" s="22" t="s">
        <v>43</v>
      </c>
      <c r="AF39" s="22" t="s">
        <v>43</v>
      </c>
      <c r="AG39" s="22" t="s">
        <v>43</v>
      </c>
      <c r="AH39" s="39" t="s">
        <v>45</v>
      </c>
    </row>
    <row r="40" ht="14.25" customHeight="1">
      <c r="A40" s="25" t="s">
        <v>193</v>
      </c>
      <c r="B40" s="31"/>
      <c r="C40" s="31"/>
      <c r="D40" s="27"/>
      <c r="E40" s="27"/>
      <c r="F40" s="27"/>
      <c r="G40" s="28"/>
      <c r="H40" s="29"/>
      <c r="J40" s="85" t="s">
        <v>193</v>
      </c>
      <c r="K40" s="86"/>
      <c r="M40" s="25" t="s">
        <v>193</v>
      </c>
      <c r="N40" s="31"/>
      <c r="O40" s="27"/>
      <c r="P40" s="27"/>
      <c r="Q40" s="27"/>
      <c r="R40" s="28"/>
      <c r="S40" s="28"/>
      <c r="T40" s="31"/>
      <c r="U40" s="31"/>
      <c r="V40" s="31"/>
      <c r="W40" s="27"/>
      <c r="X40" s="27"/>
      <c r="Y40" s="27"/>
      <c r="Z40" s="28"/>
      <c r="AA40" s="29"/>
      <c r="AC40" s="85" t="s">
        <v>194</v>
      </c>
      <c r="AD40" s="31"/>
      <c r="AE40" s="31"/>
      <c r="AF40" s="31"/>
      <c r="AG40" s="31"/>
      <c r="AH40" s="32"/>
    </row>
    <row r="41" ht="14.25" customHeight="1">
      <c r="A41" s="36" t="s">
        <v>195</v>
      </c>
      <c r="B41" s="22" t="s">
        <v>196</v>
      </c>
      <c r="C41" s="22" t="s">
        <v>43</v>
      </c>
      <c r="D41" s="22" t="s">
        <v>37</v>
      </c>
      <c r="E41" s="22" t="s">
        <v>38</v>
      </c>
      <c r="F41" s="22">
        <v>65.0</v>
      </c>
      <c r="G41" s="22" t="s">
        <v>43</v>
      </c>
      <c r="H41" s="41" t="s">
        <v>40</v>
      </c>
      <c r="J41" s="36" t="s">
        <v>195</v>
      </c>
      <c r="K41" s="42" t="s">
        <v>197</v>
      </c>
      <c r="M41" s="36" t="s">
        <v>195</v>
      </c>
      <c r="N41" s="3" t="s">
        <v>37</v>
      </c>
      <c r="O41" s="22" t="s">
        <v>39</v>
      </c>
      <c r="P41" s="22" t="s">
        <v>104</v>
      </c>
      <c r="Q41" s="22" t="s">
        <v>39</v>
      </c>
      <c r="R41" s="38" t="s">
        <v>39</v>
      </c>
      <c r="S41" s="39" t="s">
        <v>45</v>
      </c>
      <c r="T41" s="33" t="s">
        <v>39</v>
      </c>
      <c r="U41" s="3" t="s">
        <v>39</v>
      </c>
      <c r="V41" s="3" t="s">
        <v>37</v>
      </c>
      <c r="W41" s="3" t="s">
        <v>37</v>
      </c>
      <c r="X41" s="3" t="s">
        <v>37</v>
      </c>
      <c r="Y41" s="3" t="s">
        <v>39</v>
      </c>
      <c r="Z41" s="3" t="s">
        <v>39</v>
      </c>
      <c r="AA41" s="34" t="s">
        <v>45</v>
      </c>
      <c r="AC41" s="33" t="s">
        <v>195</v>
      </c>
      <c r="AD41" s="3" t="s">
        <v>43</v>
      </c>
      <c r="AE41" s="3" t="s">
        <v>43</v>
      </c>
      <c r="AF41" s="3" t="s">
        <v>43</v>
      </c>
      <c r="AG41" s="6" t="s">
        <v>43</v>
      </c>
      <c r="AH41" s="37" t="s">
        <v>45</v>
      </c>
    </row>
    <row r="42" ht="14.25" customHeight="1">
      <c r="A42" s="36" t="s">
        <v>198</v>
      </c>
      <c r="B42" s="22" t="s">
        <v>199</v>
      </c>
      <c r="C42" s="22" t="s">
        <v>37</v>
      </c>
      <c r="D42" s="22" t="s">
        <v>37</v>
      </c>
      <c r="E42" s="22" t="s">
        <v>38</v>
      </c>
      <c r="F42" s="22">
        <v>22.0</v>
      </c>
      <c r="G42" s="22" t="s">
        <v>43</v>
      </c>
      <c r="H42" s="41" t="s">
        <v>40</v>
      </c>
      <c r="J42" s="36" t="s">
        <v>198</v>
      </c>
      <c r="K42" s="42" t="s">
        <v>200</v>
      </c>
      <c r="M42" s="36" t="s">
        <v>198</v>
      </c>
      <c r="N42" s="22" t="s">
        <v>43</v>
      </c>
      <c r="O42" s="22" t="s">
        <v>39</v>
      </c>
      <c r="P42" s="22" t="s">
        <v>104</v>
      </c>
      <c r="Q42" s="22" t="s">
        <v>39</v>
      </c>
      <c r="R42" s="38" t="s">
        <v>39</v>
      </c>
      <c r="S42" s="39" t="s">
        <v>45</v>
      </c>
      <c r="T42" s="36" t="s">
        <v>151</v>
      </c>
      <c r="U42" s="43" t="s">
        <v>37</v>
      </c>
      <c r="V42" s="22" t="s">
        <v>37</v>
      </c>
      <c r="W42" s="22" t="s">
        <v>37</v>
      </c>
      <c r="X42" s="22" t="s">
        <v>39</v>
      </c>
      <c r="Y42" s="22" t="s">
        <v>39</v>
      </c>
      <c r="Z42" s="22" t="s">
        <v>39</v>
      </c>
      <c r="AA42" s="41" t="s">
        <v>45</v>
      </c>
      <c r="AC42" s="36" t="s">
        <v>198</v>
      </c>
      <c r="AD42" s="22" t="s">
        <v>43</v>
      </c>
      <c r="AE42" s="22" t="s">
        <v>43</v>
      </c>
      <c r="AF42" s="22" t="s">
        <v>43</v>
      </c>
      <c r="AG42" s="38" t="s">
        <v>43</v>
      </c>
      <c r="AH42" s="39" t="s">
        <v>45</v>
      </c>
    </row>
    <row r="43" ht="14.25" customHeight="1">
      <c r="A43" s="36" t="s">
        <v>201</v>
      </c>
      <c r="B43" s="22" t="s">
        <v>124</v>
      </c>
      <c r="C43" s="22" t="s">
        <v>43</v>
      </c>
      <c r="D43" s="22" t="s">
        <v>43</v>
      </c>
      <c r="E43" s="22" t="s">
        <v>38</v>
      </c>
      <c r="F43" s="22">
        <v>157.0</v>
      </c>
      <c r="G43" s="22" t="s">
        <v>43</v>
      </c>
      <c r="H43" s="41" t="s">
        <v>45</v>
      </c>
      <c r="J43" s="36" t="s">
        <v>201</v>
      </c>
      <c r="K43" s="42" t="s">
        <v>75</v>
      </c>
      <c r="M43" s="36" t="s">
        <v>201</v>
      </c>
      <c r="N43" s="22" t="s">
        <v>37</v>
      </c>
      <c r="O43" s="22" t="s">
        <v>39</v>
      </c>
      <c r="P43" s="22" t="s">
        <v>104</v>
      </c>
      <c r="Q43" s="22" t="s">
        <v>39</v>
      </c>
      <c r="R43" s="38" t="s">
        <v>39</v>
      </c>
      <c r="S43" s="39" t="s">
        <v>45</v>
      </c>
      <c r="T43" s="36" t="s">
        <v>39</v>
      </c>
      <c r="U43" s="22" t="s">
        <v>39</v>
      </c>
      <c r="V43" s="22" t="s">
        <v>37</v>
      </c>
      <c r="W43" s="22" t="s">
        <v>37</v>
      </c>
      <c r="X43" s="22" t="s">
        <v>39</v>
      </c>
      <c r="Y43" s="22" t="s">
        <v>39</v>
      </c>
      <c r="Z43" s="22" t="s">
        <v>39</v>
      </c>
      <c r="AA43" s="41" t="s">
        <v>45</v>
      </c>
      <c r="AC43" s="36" t="s">
        <v>201</v>
      </c>
      <c r="AD43" s="22" t="s">
        <v>43</v>
      </c>
      <c r="AE43" s="22" t="s">
        <v>43</v>
      </c>
      <c r="AF43" s="22" t="s">
        <v>43</v>
      </c>
      <c r="AG43" s="38" t="s">
        <v>43</v>
      </c>
      <c r="AH43" s="39" t="s">
        <v>45</v>
      </c>
    </row>
    <row r="44" ht="14.25" customHeight="1">
      <c r="A44" s="36" t="s">
        <v>202</v>
      </c>
      <c r="B44" s="22" t="s">
        <v>36</v>
      </c>
      <c r="C44" s="22" t="s">
        <v>43</v>
      </c>
      <c r="D44" s="22" t="s">
        <v>43</v>
      </c>
      <c r="E44" s="22" t="s">
        <v>38</v>
      </c>
      <c r="F44" s="22" t="s">
        <v>44</v>
      </c>
      <c r="G44" s="22" t="s">
        <v>43</v>
      </c>
      <c r="H44" s="41" t="s">
        <v>45</v>
      </c>
      <c r="J44" s="36" t="s">
        <v>202</v>
      </c>
      <c r="K44" s="42" t="s">
        <v>203</v>
      </c>
      <c r="M44" s="36" t="s">
        <v>202</v>
      </c>
      <c r="N44" s="22" t="s">
        <v>43</v>
      </c>
      <c r="O44" s="22" t="s">
        <v>39</v>
      </c>
      <c r="P44" s="22" t="s">
        <v>104</v>
      </c>
      <c r="Q44" s="22" t="s">
        <v>39</v>
      </c>
      <c r="R44" s="38" t="s">
        <v>39</v>
      </c>
      <c r="S44" s="39" t="s">
        <v>45</v>
      </c>
      <c r="T44" s="36" t="s">
        <v>39</v>
      </c>
      <c r="U44" s="22" t="s">
        <v>39</v>
      </c>
      <c r="V44" s="22" t="s">
        <v>37</v>
      </c>
      <c r="W44" s="22" t="s">
        <v>37</v>
      </c>
      <c r="X44" s="22" t="s">
        <v>39</v>
      </c>
      <c r="Y44" s="22" t="s">
        <v>39</v>
      </c>
      <c r="Z44" s="22" t="s">
        <v>39</v>
      </c>
      <c r="AA44" s="41" t="s">
        <v>45</v>
      </c>
      <c r="AC44" s="36" t="s">
        <v>202</v>
      </c>
      <c r="AD44" s="22" t="s">
        <v>43</v>
      </c>
      <c r="AE44" s="22" t="s">
        <v>43</v>
      </c>
      <c r="AF44" s="22" t="s">
        <v>43</v>
      </c>
      <c r="AG44" s="38" t="s">
        <v>43</v>
      </c>
      <c r="AH44" s="39" t="s">
        <v>45</v>
      </c>
    </row>
    <row r="45" ht="14.25" customHeight="1">
      <c r="A45" s="36" t="s">
        <v>204</v>
      </c>
      <c r="B45" s="22" t="s">
        <v>96</v>
      </c>
      <c r="C45" s="22" t="s">
        <v>43</v>
      </c>
      <c r="D45" s="22" t="s">
        <v>43</v>
      </c>
      <c r="E45" s="22" t="s">
        <v>38</v>
      </c>
      <c r="F45" s="22">
        <v>135.0</v>
      </c>
      <c r="G45" s="22" t="s">
        <v>43</v>
      </c>
      <c r="H45" s="41" t="s">
        <v>45</v>
      </c>
      <c r="J45" s="36" t="s">
        <v>204</v>
      </c>
      <c r="K45" s="42" t="s">
        <v>75</v>
      </c>
      <c r="M45" s="36" t="s">
        <v>204</v>
      </c>
      <c r="N45" s="22" t="s">
        <v>43</v>
      </c>
      <c r="O45" s="22" t="s">
        <v>39</v>
      </c>
      <c r="P45" s="22" t="s">
        <v>39</v>
      </c>
      <c r="Q45" s="22" t="s">
        <v>39</v>
      </c>
      <c r="R45" s="38" t="s">
        <v>39</v>
      </c>
      <c r="S45" s="39" t="s">
        <v>45</v>
      </c>
      <c r="T45" s="36" t="s">
        <v>39</v>
      </c>
      <c r="U45" s="22" t="s">
        <v>39</v>
      </c>
      <c r="V45" s="22" t="s">
        <v>37</v>
      </c>
      <c r="W45" s="22" t="s">
        <v>39</v>
      </c>
      <c r="X45" s="22" t="s">
        <v>39</v>
      </c>
      <c r="Y45" s="22" t="s">
        <v>39</v>
      </c>
      <c r="Z45" s="22" t="s">
        <v>39</v>
      </c>
      <c r="AA45" s="41" t="s">
        <v>45</v>
      </c>
      <c r="AC45" s="36" t="s">
        <v>204</v>
      </c>
      <c r="AD45" s="22" t="s">
        <v>43</v>
      </c>
      <c r="AE45" s="22" t="s">
        <v>43</v>
      </c>
      <c r="AF45" s="22" t="s">
        <v>43</v>
      </c>
      <c r="AG45" s="38" t="s">
        <v>43</v>
      </c>
      <c r="AH45" s="39" t="s">
        <v>45</v>
      </c>
    </row>
    <row r="46" ht="14.25" customHeight="1">
      <c r="A46" s="46" t="s">
        <v>205</v>
      </c>
      <c r="B46" s="47" t="s">
        <v>206</v>
      </c>
      <c r="C46" s="47" t="s">
        <v>43</v>
      </c>
      <c r="D46" s="47" t="s">
        <v>43</v>
      </c>
      <c r="E46" s="47" t="s">
        <v>38</v>
      </c>
      <c r="F46" s="47" t="s">
        <v>44</v>
      </c>
      <c r="G46" s="47" t="s">
        <v>43</v>
      </c>
      <c r="H46" s="48" t="s">
        <v>45</v>
      </c>
      <c r="J46" s="46" t="s">
        <v>205</v>
      </c>
      <c r="K46" s="49" t="s">
        <v>75</v>
      </c>
      <c r="M46" s="46" t="s">
        <v>205</v>
      </c>
      <c r="N46" s="47" t="s">
        <v>43</v>
      </c>
      <c r="O46" s="47" t="s">
        <v>39</v>
      </c>
      <c r="P46" s="47" t="s">
        <v>44</v>
      </c>
      <c r="Q46" s="47" t="s">
        <v>39</v>
      </c>
      <c r="R46" s="51" t="s">
        <v>39</v>
      </c>
      <c r="S46" s="50" t="s">
        <v>45</v>
      </c>
      <c r="T46" s="46" t="s">
        <v>39</v>
      </c>
      <c r="U46" s="47" t="s">
        <v>39</v>
      </c>
      <c r="V46" s="47" t="s">
        <v>37</v>
      </c>
      <c r="W46" s="47" t="s">
        <v>44</v>
      </c>
      <c r="X46" s="47" t="s">
        <v>44</v>
      </c>
      <c r="Y46" s="47" t="s">
        <v>44</v>
      </c>
      <c r="Z46" s="47" t="s">
        <v>44</v>
      </c>
      <c r="AA46" s="48" t="s">
        <v>45</v>
      </c>
      <c r="AC46" s="46" t="s">
        <v>205</v>
      </c>
      <c r="AD46" s="47" t="s">
        <v>43</v>
      </c>
      <c r="AE46" s="47" t="s">
        <v>43</v>
      </c>
      <c r="AF46" s="47" t="s">
        <v>43</v>
      </c>
      <c r="AG46" s="51" t="s">
        <v>43</v>
      </c>
      <c r="AH46" s="50" t="s">
        <v>45</v>
      </c>
    </row>
    <row r="47" ht="14.25" customHeight="1"/>
    <row r="48" ht="14.25" customHeight="1">
      <c r="A48" s="30" t="s">
        <v>207</v>
      </c>
      <c r="B48" s="31"/>
      <c r="C48" s="31"/>
      <c r="D48" s="31"/>
      <c r="E48" s="31"/>
      <c r="F48" s="31"/>
      <c r="G48" s="31"/>
      <c r="H48" s="32"/>
      <c r="J48" s="56" t="s">
        <v>207</v>
      </c>
      <c r="K48" s="57"/>
      <c r="M48" s="56" t="s">
        <v>207</v>
      </c>
      <c r="N48" s="88"/>
      <c r="O48" s="89"/>
      <c r="P48" s="89"/>
      <c r="Q48" s="89"/>
      <c r="R48" s="54"/>
      <c r="S48" s="54"/>
      <c r="T48" s="54"/>
      <c r="U48" s="54"/>
      <c r="V48" s="54"/>
      <c r="W48" s="89"/>
      <c r="X48" s="89"/>
      <c r="Y48" s="89"/>
      <c r="Z48" s="54"/>
      <c r="AA48" s="55"/>
      <c r="AC48" s="30" t="s">
        <v>207</v>
      </c>
      <c r="AD48" s="31"/>
      <c r="AE48" s="31"/>
      <c r="AF48" s="31"/>
      <c r="AG48" s="32"/>
      <c r="AH48" s="55"/>
    </row>
    <row r="49" ht="14.25" customHeight="1">
      <c r="A49" s="46" t="s">
        <v>208</v>
      </c>
      <c r="B49" s="47" t="s">
        <v>209</v>
      </c>
      <c r="C49" s="47" t="s">
        <v>43</v>
      </c>
      <c r="D49" s="82" t="s">
        <v>43</v>
      </c>
      <c r="E49" s="82" t="s">
        <v>38</v>
      </c>
      <c r="F49" s="47" t="s">
        <v>44</v>
      </c>
      <c r="G49" s="82" t="s">
        <v>37</v>
      </c>
      <c r="H49" s="83" t="s">
        <v>45</v>
      </c>
      <c r="J49" s="46" t="s">
        <v>208</v>
      </c>
      <c r="K49" s="90" t="s">
        <v>210</v>
      </c>
      <c r="M49" s="46" t="s">
        <v>208</v>
      </c>
      <c r="N49" s="47" t="s">
        <v>37</v>
      </c>
      <c r="O49" s="82" t="s">
        <v>39</v>
      </c>
      <c r="P49" s="82" t="s">
        <v>39</v>
      </c>
      <c r="Q49" s="82" t="s">
        <v>43</v>
      </c>
      <c r="R49" s="82" t="s">
        <v>39</v>
      </c>
      <c r="S49" s="91" t="s">
        <v>211</v>
      </c>
      <c r="T49" s="47" t="s">
        <v>39</v>
      </c>
      <c r="U49" s="47" t="s">
        <v>39</v>
      </c>
      <c r="V49" s="47" t="s">
        <v>43</v>
      </c>
      <c r="W49" s="47" t="s">
        <v>39</v>
      </c>
      <c r="X49" s="47" t="s">
        <v>39</v>
      </c>
      <c r="Y49" s="47" t="s">
        <v>44</v>
      </c>
      <c r="Z49" s="47" t="s">
        <v>39</v>
      </c>
      <c r="AA49" s="83" t="s">
        <v>45</v>
      </c>
      <c r="AC49" s="46" t="s">
        <v>208</v>
      </c>
      <c r="AD49" s="47" t="s">
        <v>43</v>
      </c>
      <c r="AE49" s="47" t="s">
        <v>43</v>
      </c>
      <c r="AF49" s="47" t="s">
        <v>43</v>
      </c>
      <c r="AG49" s="51" t="s">
        <v>43</v>
      </c>
      <c r="AH49" s="83" t="s">
        <v>45</v>
      </c>
    </row>
    <row r="50" ht="14.25" customHeight="1"/>
    <row r="51" ht="14.25" customHeight="1">
      <c r="A51" s="30" t="s">
        <v>212</v>
      </c>
      <c r="B51" s="31"/>
      <c r="C51" s="31"/>
      <c r="D51" s="31"/>
      <c r="E51" s="31"/>
      <c r="F51" s="31"/>
      <c r="G51" s="31"/>
      <c r="H51" s="32"/>
      <c r="J51" s="56" t="s">
        <v>212</v>
      </c>
      <c r="K51" s="57"/>
      <c r="M51" s="56" t="s">
        <v>212</v>
      </c>
      <c r="N51" s="88"/>
      <c r="O51" s="89"/>
      <c r="P51" s="89"/>
      <c r="Q51" s="89"/>
      <c r="R51" s="54"/>
      <c r="S51" s="54"/>
      <c r="T51" s="54"/>
      <c r="U51" s="54"/>
      <c r="V51" s="54"/>
      <c r="W51" s="89"/>
      <c r="X51" s="89"/>
      <c r="Y51" s="89"/>
      <c r="Z51" s="54"/>
      <c r="AA51" s="55"/>
      <c r="AC51" s="30" t="s">
        <v>212</v>
      </c>
      <c r="AD51" s="31"/>
      <c r="AE51" s="31"/>
      <c r="AF51" s="31"/>
      <c r="AG51" s="32"/>
      <c r="AH51" s="55"/>
    </row>
    <row r="52" ht="14.25" customHeight="1">
      <c r="A52" s="70" t="s">
        <v>213</v>
      </c>
      <c r="B52" s="22" t="s">
        <v>214</v>
      </c>
      <c r="C52" s="22" t="s">
        <v>43</v>
      </c>
      <c r="D52" s="43" t="s">
        <v>43</v>
      </c>
      <c r="E52" s="43" t="s">
        <v>38</v>
      </c>
      <c r="F52" s="22" t="s">
        <v>44</v>
      </c>
      <c r="G52" s="43" t="s">
        <v>37</v>
      </c>
      <c r="H52" s="71" t="s">
        <v>45</v>
      </c>
      <c r="J52" s="70" t="s">
        <v>213</v>
      </c>
      <c r="K52" s="92" t="s">
        <v>215</v>
      </c>
      <c r="M52" s="70" t="s">
        <v>213</v>
      </c>
      <c r="N52" s="22" t="s">
        <v>37</v>
      </c>
      <c r="O52" s="43" t="s">
        <v>39</v>
      </c>
      <c r="P52" s="43" t="s">
        <v>39</v>
      </c>
      <c r="Q52" s="43" t="s">
        <v>43</v>
      </c>
      <c r="R52" s="43" t="s">
        <v>39</v>
      </c>
      <c r="S52" s="58" t="s">
        <v>211</v>
      </c>
      <c r="T52" s="43" t="s">
        <v>39</v>
      </c>
      <c r="U52" s="43" t="s">
        <v>39</v>
      </c>
      <c r="V52" s="43" t="s">
        <v>43</v>
      </c>
      <c r="W52" s="22" t="s">
        <v>39</v>
      </c>
      <c r="X52" s="22" t="s">
        <v>39</v>
      </c>
      <c r="Y52" s="22" t="s">
        <v>44</v>
      </c>
      <c r="Z52" s="22" t="s">
        <v>39</v>
      </c>
      <c r="AA52" s="71" t="s">
        <v>45</v>
      </c>
      <c r="AC52" s="70" t="s">
        <v>213</v>
      </c>
      <c r="AD52" s="22" t="s">
        <v>43</v>
      </c>
      <c r="AE52" s="22" t="s">
        <v>43</v>
      </c>
      <c r="AF52" s="22" t="s">
        <v>43</v>
      </c>
      <c r="AG52" s="38" t="s">
        <v>43</v>
      </c>
      <c r="AH52" s="71" t="s">
        <v>45</v>
      </c>
    </row>
    <row r="53" ht="14.25" customHeight="1">
      <c r="A53" s="46" t="s">
        <v>216</v>
      </c>
      <c r="B53" s="47" t="s">
        <v>217</v>
      </c>
      <c r="C53" s="47" t="s">
        <v>43</v>
      </c>
      <c r="D53" s="82" t="s">
        <v>43</v>
      </c>
      <c r="E53" s="82" t="s">
        <v>218</v>
      </c>
      <c r="F53" s="47" t="s">
        <v>44</v>
      </c>
      <c r="G53" s="82" t="s">
        <v>37</v>
      </c>
      <c r="H53" s="83" t="s">
        <v>40</v>
      </c>
      <c r="J53" s="46" t="s">
        <v>216</v>
      </c>
      <c r="K53" s="49" t="s">
        <v>219</v>
      </c>
      <c r="M53" s="46" t="s">
        <v>216</v>
      </c>
      <c r="N53" s="47" t="s">
        <v>37</v>
      </c>
      <c r="O53" s="82" t="s">
        <v>54</v>
      </c>
      <c r="P53" s="82" t="s">
        <v>55</v>
      </c>
      <c r="Q53" s="82" t="s">
        <v>37</v>
      </c>
      <c r="R53" s="82" t="s">
        <v>56</v>
      </c>
      <c r="S53" s="91" t="s">
        <v>220</v>
      </c>
      <c r="T53" s="47" t="s">
        <v>79</v>
      </c>
      <c r="U53" s="47" t="s">
        <v>37</v>
      </c>
      <c r="V53" s="47" t="s">
        <v>43</v>
      </c>
      <c r="W53" s="82" t="s">
        <v>37</v>
      </c>
      <c r="X53" s="82" t="s">
        <v>43</v>
      </c>
      <c r="Y53" s="47" t="s">
        <v>44</v>
      </c>
      <c r="Z53" s="82" t="s">
        <v>43</v>
      </c>
      <c r="AA53" s="83" t="s">
        <v>45</v>
      </c>
      <c r="AC53" s="46" t="s">
        <v>216</v>
      </c>
      <c r="AD53" s="47" t="s">
        <v>221</v>
      </c>
      <c r="AE53" s="47" t="s">
        <v>43</v>
      </c>
      <c r="AF53" s="47" t="s">
        <v>43</v>
      </c>
      <c r="AG53" s="51" t="s">
        <v>43</v>
      </c>
      <c r="AH53" s="83" t="s">
        <v>40</v>
      </c>
    </row>
    <row r="54" ht="14.25" customHeight="1"/>
    <row r="55" ht="14.25" customHeight="1">
      <c r="A55" s="93" t="s">
        <v>222</v>
      </c>
      <c r="B55" s="93"/>
      <c r="C55" s="93"/>
    </row>
    <row r="56" ht="14.25" customHeight="1">
      <c r="A56" s="22" t="s">
        <v>223</v>
      </c>
    </row>
    <row r="57" ht="14.25" customHeight="1">
      <c r="A57" s="22" t="s">
        <v>224</v>
      </c>
    </row>
    <row r="58" ht="14.25" customHeight="1">
      <c r="A58" s="22" t="s">
        <v>225</v>
      </c>
    </row>
    <row r="59" ht="14.25" customHeight="1">
      <c r="A59" s="22" t="s">
        <v>226</v>
      </c>
    </row>
    <row r="60" ht="14.25" customHeight="1">
      <c r="A60" s="93" t="s">
        <v>227</v>
      </c>
      <c r="B60" s="93"/>
      <c r="C60" s="93"/>
    </row>
    <row r="61" ht="14.25" customHeight="1">
      <c r="A61" s="22" t="s">
        <v>228</v>
      </c>
    </row>
    <row r="62" ht="14.25" customHeight="1">
      <c r="A62" s="22" t="s">
        <v>229</v>
      </c>
    </row>
    <row r="63" ht="14.25" customHeight="1">
      <c r="A63" s="22" t="s">
        <v>230</v>
      </c>
    </row>
    <row r="64" ht="14.25" customHeight="1">
      <c r="A64" s="22" t="s">
        <v>231</v>
      </c>
    </row>
    <row r="65" ht="14.25" customHeight="1">
      <c r="A65" s="93" t="s">
        <v>232</v>
      </c>
    </row>
    <row r="66" ht="14.25" customHeight="1">
      <c r="A66" s="22" t="s">
        <v>233</v>
      </c>
    </row>
    <row r="67" ht="14.25" customHeight="1">
      <c r="A67" s="22" t="s">
        <v>234</v>
      </c>
      <c r="H67" s="94"/>
    </row>
    <row r="68" ht="14.25" customHeight="1">
      <c r="A68" s="22" t="s">
        <v>235</v>
      </c>
    </row>
    <row r="69" ht="14.25" customHeight="1">
      <c r="A69" s="22" t="s">
        <v>236</v>
      </c>
    </row>
    <row r="70" ht="14.25" customHeight="1">
      <c r="A70" s="22" t="s">
        <v>237</v>
      </c>
    </row>
    <row r="71" ht="14.25" customHeight="1">
      <c r="A71" s="22" t="s">
        <v>238</v>
      </c>
    </row>
    <row r="72" ht="14.25" customHeight="1">
      <c r="A72" s="93" t="s">
        <v>239</v>
      </c>
    </row>
    <row r="73" ht="14.25" customHeight="1">
      <c r="A73" s="22" t="s">
        <v>240</v>
      </c>
    </row>
    <row r="74" ht="14.25" customHeight="1">
      <c r="A74" s="22" t="s">
        <v>241</v>
      </c>
    </row>
    <row r="75" ht="14.25" customHeight="1">
      <c r="A75" s="93" t="s">
        <v>242</v>
      </c>
    </row>
    <row r="76" ht="14.25" customHeight="1">
      <c r="A76" s="22" t="s">
        <v>243</v>
      </c>
    </row>
    <row r="77" ht="14.25" customHeight="1">
      <c r="A77" s="22" t="s">
        <v>244</v>
      </c>
    </row>
    <row r="78" ht="14.25" customHeight="1">
      <c r="A78" s="22" t="s">
        <v>245</v>
      </c>
    </row>
    <row r="79" ht="14.25" customHeight="1">
      <c r="A79" s="22" t="s">
        <v>246</v>
      </c>
    </row>
    <row r="80" ht="14.25" customHeight="1">
      <c r="A80" s="22" t="s">
        <v>247</v>
      </c>
    </row>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3">
    <mergeCell ref="A1:H1"/>
    <mergeCell ref="A21:F21"/>
    <mergeCell ref="M21:AA21"/>
  </mergeCells>
  <hyperlinks>
    <hyperlink r:id="rId1" ref="AJ4"/>
    <hyperlink r:id="rId2" ref="AJ5"/>
    <hyperlink r:id="rId3" ref="AJ6"/>
    <hyperlink r:id="rId4" ref="AJ7"/>
    <hyperlink r:id="rId5" ref="AJ8"/>
    <hyperlink r:id="rId6" ref="AJ9"/>
    <hyperlink r:id="rId7" ref="AJ10"/>
    <hyperlink r:id="rId8" ref="AJ11"/>
    <hyperlink r:id="rId9" ref="AJ12"/>
    <hyperlink r:id="rId10" ref="AJ13"/>
    <hyperlink r:id="rId11" ref="AJ18"/>
    <hyperlink r:id="rId12" ref="AJ23"/>
    <hyperlink r:id="rId13" ref="AJ26"/>
  </hyperlinks>
  <printOptions/>
  <pageMargins bottom="0.787401575" footer="0.0" header="0.0" left="0.7" right="0.7" top="0.787401575"/>
  <pageSetup paperSize="9" orientation="portrait"/>
  <drawing r:id="rId14"/>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0.71"/>
    <col customWidth="1" min="3" max="3" width="16.71"/>
    <col customWidth="1" min="4" max="9" width="10.71"/>
    <col customWidth="1" min="10" max="10" width="20.29"/>
    <col customWidth="1" min="11" max="26" width="10.71"/>
  </cols>
  <sheetData>
    <row r="1" ht="14.25" customHeight="1">
      <c r="A1" s="7" t="s">
        <v>248</v>
      </c>
      <c r="K1" s="7" t="s">
        <v>249</v>
      </c>
    </row>
    <row r="2" ht="14.25" customHeight="1">
      <c r="A2" s="95" t="s">
        <v>4</v>
      </c>
      <c r="B2" s="96" t="s">
        <v>250</v>
      </c>
      <c r="C2" s="97" t="s">
        <v>251</v>
      </c>
      <c r="D2" s="98" t="s">
        <v>252</v>
      </c>
      <c r="E2" s="98" t="s">
        <v>253</v>
      </c>
      <c r="F2" s="98" t="s">
        <v>254</v>
      </c>
      <c r="G2" s="98" t="s">
        <v>255</v>
      </c>
      <c r="H2" s="98" t="s">
        <v>256</v>
      </c>
      <c r="I2" s="99" t="s">
        <v>257</v>
      </c>
      <c r="J2" s="100"/>
      <c r="K2" s="101" t="s">
        <v>4</v>
      </c>
      <c r="L2" s="96" t="s">
        <v>258</v>
      </c>
      <c r="M2" s="102" t="s">
        <v>251</v>
      </c>
      <c r="N2" s="98" t="s">
        <v>259</v>
      </c>
      <c r="O2" s="98" t="s">
        <v>260</v>
      </c>
      <c r="P2" s="99" t="s">
        <v>261</v>
      </c>
    </row>
    <row r="3" ht="14.25" customHeight="1">
      <c r="A3" s="103" t="s">
        <v>32</v>
      </c>
      <c r="B3" s="104"/>
      <c r="C3" s="104"/>
      <c r="D3" s="104"/>
      <c r="E3" s="105"/>
      <c r="F3" s="105"/>
      <c r="G3" s="105"/>
      <c r="H3" s="106"/>
      <c r="I3" s="107"/>
      <c r="K3" s="108" t="s">
        <v>34</v>
      </c>
      <c r="L3" s="109"/>
      <c r="M3" s="109"/>
      <c r="N3" s="109"/>
      <c r="O3" s="110"/>
      <c r="P3" s="111"/>
    </row>
    <row r="4" ht="14.25" customHeight="1">
      <c r="A4" s="33" t="s">
        <v>35</v>
      </c>
      <c r="B4" s="3" t="s">
        <v>43</v>
      </c>
      <c r="C4" s="3" t="s">
        <v>262</v>
      </c>
      <c r="D4" s="3">
        <v>3637.0</v>
      </c>
      <c r="E4" s="3">
        <v>0.0</v>
      </c>
      <c r="F4" s="112">
        <f t="shared" ref="F4:F19" si="1">(E4/D4)*100</f>
        <v>0</v>
      </c>
      <c r="G4" s="3">
        <v>22.0</v>
      </c>
      <c r="H4" s="3">
        <v>0.0</v>
      </c>
      <c r="I4" s="113">
        <f t="shared" ref="I4:I19" si="2">(H4/G4)*100</f>
        <v>0</v>
      </c>
      <c r="K4" s="33" t="s">
        <v>35</v>
      </c>
      <c r="L4" s="3" t="s">
        <v>43</v>
      </c>
      <c r="M4" s="3">
        <v>2025.0</v>
      </c>
      <c r="N4" s="3">
        <v>40102.0</v>
      </c>
      <c r="O4" s="3">
        <v>0.0</v>
      </c>
      <c r="P4" s="113">
        <f t="shared" ref="P4:P19" si="3">(O4/N4)*100</f>
        <v>0</v>
      </c>
    </row>
    <row r="5" ht="14.25" customHeight="1">
      <c r="A5" s="36" t="s">
        <v>48</v>
      </c>
      <c r="B5" s="22" t="s">
        <v>37</v>
      </c>
      <c r="C5" s="22" t="s">
        <v>263</v>
      </c>
      <c r="D5" s="22">
        <v>17320.0</v>
      </c>
      <c r="E5" s="22">
        <v>774.0</v>
      </c>
      <c r="F5" s="114">
        <f t="shared" si="1"/>
        <v>4.468822171</v>
      </c>
      <c r="G5" s="22">
        <v>135.0</v>
      </c>
      <c r="H5" s="22">
        <v>14.0</v>
      </c>
      <c r="I5" s="115">
        <f t="shared" si="2"/>
        <v>10.37037037</v>
      </c>
      <c r="K5" s="36" t="s">
        <v>48</v>
      </c>
      <c r="L5" s="22" t="s">
        <v>43</v>
      </c>
      <c r="M5" s="22">
        <v>2025.0</v>
      </c>
      <c r="N5" s="22">
        <v>29462.0</v>
      </c>
      <c r="O5" s="22">
        <v>0.0</v>
      </c>
      <c r="P5" s="115">
        <f t="shared" si="3"/>
        <v>0</v>
      </c>
    </row>
    <row r="6" ht="14.25" customHeight="1">
      <c r="A6" s="36" t="s">
        <v>60</v>
      </c>
      <c r="B6" s="22" t="s">
        <v>43</v>
      </c>
      <c r="C6" s="22" t="s">
        <v>264</v>
      </c>
      <c r="D6" s="22">
        <v>3583.0</v>
      </c>
      <c r="E6" s="22">
        <v>0.0</v>
      </c>
      <c r="F6" s="114">
        <f t="shared" si="1"/>
        <v>0</v>
      </c>
      <c r="G6" s="22">
        <v>26.0</v>
      </c>
      <c r="H6" s="22">
        <v>0.0</v>
      </c>
      <c r="I6" s="115">
        <f t="shared" si="2"/>
        <v>0</v>
      </c>
      <c r="K6" s="36" t="s">
        <v>60</v>
      </c>
      <c r="L6" s="22" t="s">
        <v>43</v>
      </c>
      <c r="M6" s="22">
        <v>2025.0</v>
      </c>
      <c r="N6" s="22">
        <v>22195.0</v>
      </c>
      <c r="O6" s="22">
        <v>0.0</v>
      </c>
      <c r="P6" s="115">
        <f t="shared" si="3"/>
        <v>0</v>
      </c>
    </row>
    <row r="7" ht="14.25" customHeight="1">
      <c r="A7" s="36" t="s">
        <v>64</v>
      </c>
      <c r="B7" s="22" t="s">
        <v>37</v>
      </c>
      <c r="C7" s="22" t="s">
        <v>265</v>
      </c>
      <c r="D7" s="22">
        <v>33748.0</v>
      </c>
      <c r="E7" s="22">
        <v>422.0</v>
      </c>
      <c r="F7" s="114">
        <f t="shared" si="1"/>
        <v>1.250444471</v>
      </c>
      <c r="G7" s="22">
        <v>39.0</v>
      </c>
      <c r="H7" s="22">
        <v>2.0</v>
      </c>
      <c r="I7" s="115">
        <f t="shared" si="2"/>
        <v>5.128205128</v>
      </c>
      <c r="K7" s="36" t="s">
        <v>64</v>
      </c>
      <c r="L7" s="22" t="s">
        <v>37</v>
      </c>
      <c r="M7" s="22">
        <v>2025.0</v>
      </c>
      <c r="N7" s="22">
        <v>27340.0</v>
      </c>
      <c r="O7" s="22">
        <v>11.0</v>
      </c>
      <c r="P7" s="115">
        <f t="shared" si="3"/>
        <v>0.04023408925</v>
      </c>
    </row>
    <row r="8" ht="14.25" customHeight="1">
      <c r="A8" s="36" t="s">
        <v>74</v>
      </c>
      <c r="B8" s="22" t="s">
        <v>43</v>
      </c>
      <c r="C8" s="22" t="s">
        <v>265</v>
      </c>
      <c r="D8" s="22">
        <v>5597.0</v>
      </c>
      <c r="E8" s="22">
        <v>0.0</v>
      </c>
      <c r="F8" s="114">
        <f t="shared" si="1"/>
        <v>0</v>
      </c>
      <c r="G8" s="22">
        <v>35.0</v>
      </c>
      <c r="H8" s="22">
        <v>0.0</v>
      </c>
      <c r="I8" s="115">
        <f t="shared" si="2"/>
        <v>0</v>
      </c>
      <c r="K8" s="36" t="s">
        <v>74</v>
      </c>
      <c r="L8" s="22" t="s">
        <v>43</v>
      </c>
      <c r="M8" s="22">
        <v>2025.0</v>
      </c>
      <c r="N8" s="22">
        <v>11714.0</v>
      </c>
      <c r="O8" s="22">
        <v>0.0</v>
      </c>
      <c r="P8" s="115">
        <f t="shared" si="3"/>
        <v>0</v>
      </c>
    </row>
    <row r="9" ht="14.25" customHeight="1">
      <c r="A9" s="36" t="s">
        <v>77</v>
      </c>
      <c r="B9" s="22" t="s">
        <v>37</v>
      </c>
      <c r="C9" s="22" t="s">
        <v>266</v>
      </c>
      <c r="D9" s="22">
        <v>7642.0</v>
      </c>
      <c r="E9" s="22">
        <v>81.0</v>
      </c>
      <c r="F9" s="114">
        <f t="shared" si="1"/>
        <v>1.059931955</v>
      </c>
      <c r="G9" s="22">
        <v>87.0</v>
      </c>
      <c r="H9" s="22">
        <v>2.0</v>
      </c>
      <c r="I9" s="115">
        <f t="shared" si="2"/>
        <v>2.298850575</v>
      </c>
      <c r="K9" s="36" t="s">
        <v>77</v>
      </c>
      <c r="L9" s="22" t="s">
        <v>37</v>
      </c>
      <c r="M9" s="22">
        <v>2025.0</v>
      </c>
      <c r="N9" s="22">
        <v>23076.0</v>
      </c>
      <c r="O9" s="22">
        <v>150.0</v>
      </c>
      <c r="P9" s="115">
        <f t="shared" si="3"/>
        <v>0.650026001</v>
      </c>
    </row>
    <row r="10" ht="14.25" customHeight="1">
      <c r="A10" s="36" t="s">
        <v>83</v>
      </c>
      <c r="B10" s="22" t="s">
        <v>37</v>
      </c>
      <c r="C10" s="22" t="s">
        <v>267</v>
      </c>
      <c r="D10" s="22">
        <v>9662.0</v>
      </c>
      <c r="E10" s="22">
        <v>10.0</v>
      </c>
      <c r="F10" s="114">
        <f t="shared" si="1"/>
        <v>0.1034982405</v>
      </c>
      <c r="G10" s="22">
        <v>60.0</v>
      </c>
      <c r="H10" s="22">
        <v>1.0</v>
      </c>
      <c r="I10" s="115">
        <f t="shared" si="2"/>
        <v>1.666666667</v>
      </c>
      <c r="K10" s="36" t="s">
        <v>83</v>
      </c>
      <c r="L10" s="22" t="s">
        <v>43</v>
      </c>
      <c r="M10" s="22">
        <v>2025.0</v>
      </c>
      <c r="N10" s="22">
        <v>46739.0</v>
      </c>
      <c r="O10" s="22">
        <v>0.0</v>
      </c>
      <c r="P10" s="115">
        <f t="shared" si="3"/>
        <v>0</v>
      </c>
    </row>
    <row r="11" ht="14.25" customHeight="1">
      <c r="A11" s="36" t="s">
        <v>91</v>
      </c>
      <c r="B11" s="22" t="s">
        <v>37</v>
      </c>
      <c r="C11" s="22" t="s">
        <v>268</v>
      </c>
      <c r="D11" s="22">
        <v>10514.0</v>
      </c>
      <c r="E11" s="22">
        <v>90.0</v>
      </c>
      <c r="F11" s="114">
        <f t="shared" si="1"/>
        <v>0.8560015218</v>
      </c>
      <c r="G11" s="22">
        <v>92.0</v>
      </c>
      <c r="H11" s="22">
        <v>2.0</v>
      </c>
      <c r="I11" s="115">
        <f t="shared" si="2"/>
        <v>2.173913043</v>
      </c>
      <c r="K11" s="36" t="s">
        <v>91</v>
      </c>
      <c r="L11" s="22" t="s">
        <v>43</v>
      </c>
      <c r="M11" s="22">
        <v>2025.0</v>
      </c>
      <c r="N11" s="22">
        <v>23864.0</v>
      </c>
      <c r="O11" s="22">
        <v>0.0</v>
      </c>
      <c r="P11" s="115">
        <f t="shared" si="3"/>
        <v>0</v>
      </c>
    </row>
    <row r="12" ht="14.25" customHeight="1">
      <c r="A12" s="36" t="s">
        <v>95</v>
      </c>
      <c r="B12" s="22" t="s">
        <v>37</v>
      </c>
      <c r="C12" s="22" t="s">
        <v>267</v>
      </c>
      <c r="D12" s="22">
        <v>17514.0</v>
      </c>
      <c r="E12" s="22">
        <v>48.0</v>
      </c>
      <c r="F12" s="114">
        <f t="shared" si="1"/>
        <v>0.2740664611</v>
      </c>
      <c r="G12" s="22">
        <v>72.0</v>
      </c>
      <c r="H12" s="22">
        <v>1.0</v>
      </c>
      <c r="I12" s="115">
        <f t="shared" si="2"/>
        <v>1.388888889</v>
      </c>
      <c r="K12" s="36" t="s">
        <v>95</v>
      </c>
      <c r="L12" s="22" t="s">
        <v>43</v>
      </c>
      <c r="M12" s="22">
        <v>2025.0</v>
      </c>
      <c r="N12" s="22">
        <v>38071.0</v>
      </c>
      <c r="O12" s="22">
        <v>0.0</v>
      </c>
      <c r="P12" s="115">
        <f t="shared" si="3"/>
        <v>0</v>
      </c>
    </row>
    <row r="13" ht="14.25" customHeight="1">
      <c r="A13" s="36" t="s">
        <v>102</v>
      </c>
      <c r="B13" s="22" t="s">
        <v>37</v>
      </c>
      <c r="C13" s="22" t="s">
        <v>266</v>
      </c>
      <c r="D13" s="22">
        <v>77443.0</v>
      </c>
      <c r="E13" s="22">
        <v>391.0</v>
      </c>
      <c r="F13" s="114">
        <f t="shared" si="1"/>
        <v>0.5048874656</v>
      </c>
      <c r="G13" s="22">
        <v>310.0</v>
      </c>
      <c r="H13" s="22">
        <v>5.0</v>
      </c>
      <c r="I13" s="115">
        <f t="shared" si="2"/>
        <v>1.612903226</v>
      </c>
      <c r="K13" s="36" t="s">
        <v>102</v>
      </c>
      <c r="L13" s="22" t="s">
        <v>43</v>
      </c>
      <c r="M13" s="22">
        <v>2025.0</v>
      </c>
      <c r="N13" s="22">
        <v>46739.0</v>
      </c>
      <c r="O13" s="22">
        <v>0.0</v>
      </c>
      <c r="P13" s="115">
        <f t="shared" si="3"/>
        <v>0</v>
      </c>
    </row>
    <row r="14" ht="14.25" customHeight="1">
      <c r="A14" s="36" t="s">
        <v>106</v>
      </c>
      <c r="B14" s="22" t="s">
        <v>37</v>
      </c>
      <c r="C14" s="22" t="s">
        <v>269</v>
      </c>
      <c r="D14" s="22">
        <v>26907.0</v>
      </c>
      <c r="E14" s="22">
        <v>36.0</v>
      </c>
      <c r="F14" s="114">
        <f t="shared" si="1"/>
        <v>0.13379418</v>
      </c>
      <c r="G14" s="22">
        <v>70.0</v>
      </c>
      <c r="H14" s="22">
        <v>1.0</v>
      </c>
      <c r="I14" s="115">
        <f t="shared" si="2"/>
        <v>1.428571429</v>
      </c>
      <c r="K14" s="36" t="s">
        <v>106</v>
      </c>
      <c r="L14" s="22" t="s">
        <v>43</v>
      </c>
      <c r="M14" s="22">
        <v>2025.0</v>
      </c>
      <c r="N14" s="22">
        <v>73010.0</v>
      </c>
      <c r="O14" s="22">
        <v>0.0</v>
      </c>
      <c r="P14" s="115">
        <f t="shared" si="3"/>
        <v>0</v>
      </c>
    </row>
    <row r="15" ht="14.25" customHeight="1">
      <c r="A15" s="36" t="s">
        <v>109</v>
      </c>
      <c r="B15" s="22" t="s">
        <v>43</v>
      </c>
      <c r="C15" s="22" t="s">
        <v>270</v>
      </c>
      <c r="D15" s="22">
        <v>3265.0</v>
      </c>
      <c r="E15" s="22">
        <v>0.0</v>
      </c>
      <c r="F15" s="114">
        <f t="shared" si="1"/>
        <v>0</v>
      </c>
      <c r="G15" s="22">
        <v>19.0</v>
      </c>
      <c r="H15" s="22">
        <v>0.0</v>
      </c>
      <c r="I15" s="115">
        <f t="shared" si="2"/>
        <v>0</v>
      </c>
      <c r="K15" s="36" t="s">
        <v>109</v>
      </c>
      <c r="L15" s="22" t="s">
        <v>43</v>
      </c>
      <c r="M15" s="22">
        <v>2025.0</v>
      </c>
      <c r="N15" s="22">
        <v>9541.0</v>
      </c>
      <c r="O15" s="22">
        <v>0.0</v>
      </c>
      <c r="P15" s="115">
        <f t="shared" si="3"/>
        <v>0</v>
      </c>
    </row>
    <row r="16" ht="14.25" customHeight="1">
      <c r="A16" s="36" t="s">
        <v>112</v>
      </c>
      <c r="B16" s="22" t="s">
        <v>43</v>
      </c>
      <c r="C16" s="22" t="s">
        <v>271</v>
      </c>
      <c r="D16" s="22">
        <v>7353.0</v>
      </c>
      <c r="E16" s="22">
        <v>0.0</v>
      </c>
      <c r="F16" s="114">
        <f t="shared" si="1"/>
        <v>0</v>
      </c>
      <c r="G16" s="22">
        <v>45.0</v>
      </c>
      <c r="H16" s="22">
        <v>0.0</v>
      </c>
      <c r="I16" s="115">
        <f t="shared" si="2"/>
        <v>0</v>
      </c>
      <c r="K16" s="36" t="s">
        <v>112</v>
      </c>
      <c r="L16" s="22" t="s">
        <v>43</v>
      </c>
      <c r="M16" s="22">
        <v>2025.0</v>
      </c>
      <c r="N16" s="22">
        <v>41148.0</v>
      </c>
      <c r="O16" s="22">
        <v>0.0</v>
      </c>
      <c r="P16" s="115">
        <f t="shared" si="3"/>
        <v>0</v>
      </c>
    </row>
    <row r="17" ht="14.25" customHeight="1">
      <c r="A17" s="36" t="s">
        <v>116</v>
      </c>
      <c r="B17" s="22" t="s">
        <v>37</v>
      </c>
      <c r="C17" s="22" t="s">
        <v>272</v>
      </c>
      <c r="D17" s="22">
        <v>9908.0</v>
      </c>
      <c r="E17" s="22">
        <v>98.0</v>
      </c>
      <c r="F17" s="114">
        <f t="shared" si="1"/>
        <v>0.9890997174</v>
      </c>
      <c r="G17" s="22">
        <v>43.0</v>
      </c>
      <c r="H17" s="22">
        <v>2.0</v>
      </c>
      <c r="I17" s="115">
        <f t="shared" si="2"/>
        <v>4.651162791</v>
      </c>
      <c r="K17" s="36" t="s">
        <v>116</v>
      </c>
      <c r="L17" s="22" t="s">
        <v>43</v>
      </c>
      <c r="M17" s="22">
        <v>2025.0</v>
      </c>
      <c r="N17" s="22">
        <v>39727.0</v>
      </c>
      <c r="O17" s="22">
        <v>0.0</v>
      </c>
      <c r="P17" s="115">
        <f t="shared" si="3"/>
        <v>0</v>
      </c>
    </row>
    <row r="18" ht="14.25" customHeight="1">
      <c r="A18" s="36" t="s">
        <v>120</v>
      </c>
      <c r="B18" s="22" t="s">
        <v>43</v>
      </c>
      <c r="C18" s="22" t="s">
        <v>267</v>
      </c>
      <c r="D18" s="22">
        <v>13511.0</v>
      </c>
      <c r="E18" s="22">
        <v>0.0</v>
      </c>
      <c r="F18" s="114">
        <f t="shared" si="1"/>
        <v>0</v>
      </c>
      <c r="G18" s="22">
        <v>49.0</v>
      </c>
      <c r="H18" s="22">
        <v>0.0</v>
      </c>
      <c r="I18" s="115">
        <f t="shared" si="2"/>
        <v>0</v>
      </c>
      <c r="K18" s="36" t="s">
        <v>120</v>
      </c>
      <c r="L18" s="22" t="s">
        <v>43</v>
      </c>
      <c r="M18" s="22">
        <v>2025.0</v>
      </c>
      <c r="N18" s="22">
        <v>55681.0</v>
      </c>
      <c r="O18" s="22">
        <v>0.0</v>
      </c>
      <c r="P18" s="115">
        <f t="shared" si="3"/>
        <v>0</v>
      </c>
    </row>
    <row r="19" ht="14.25" customHeight="1">
      <c r="A19" s="46" t="s">
        <v>123</v>
      </c>
      <c r="B19" s="47" t="s">
        <v>37</v>
      </c>
      <c r="C19" s="47" t="s">
        <v>273</v>
      </c>
      <c r="D19" s="47">
        <v>31732.0</v>
      </c>
      <c r="E19" s="47">
        <v>75.0</v>
      </c>
      <c r="F19" s="116">
        <f t="shared" si="1"/>
        <v>0.2363544687</v>
      </c>
      <c r="G19" s="47">
        <v>112.0</v>
      </c>
      <c r="H19" s="47">
        <v>0.0</v>
      </c>
      <c r="I19" s="117">
        <f t="shared" si="2"/>
        <v>0</v>
      </c>
      <c r="K19" s="46" t="s">
        <v>123</v>
      </c>
      <c r="L19" s="47" t="s">
        <v>37</v>
      </c>
      <c r="M19" s="47">
        <v>2025.0</v>
      </c>
      <c r="N19" s="47">
        <v>40421.0</v>
      </c>
      <c r="O19" s="47">
        <v>74.0</v>
      </c>
      <c r="P19" s="117">
        <f t="shared" si="3"/>
        <v>0.183073155</v>
      </c>
    </row>
    <row r="20" ht="14.25" customHeight="1"/>
    <row r="21" ht="14.25" customHeight="1">
      <c r="A21" s="25" t="s">
        <v>130</v>
      </c>
      <c r="B21" s="26"/>
      <c r="C21" s="26"/>
      <c r="D21" s="26"/>
      <c r="E21" s="27"/>
      <c r="F21" s="27"/>
      <c r="G21" s="27"/>
      <c r="H21" s="28"/>
      <c r="I21" s="29"/>
      <c r="K21" s="25" t="s">
        <v>130</v>
      </c>
      <c r="L21" s="26"/>
      <c r="M21" s="26"/>
      <c r="N21" s="26"/>
      <c r="O21" s="27"/>
      <c r="P21" s="118"/>
    </row>
    <row r="22" ht="14.25" customHeight="1">
      <c r="A22" s="70" t="s">
        <v>131</v>
      </c>
      <c r="B22" s="43" t="s">
        <v>37</v>
      </c>
      <c r="C22" s="43">
        <v>2022.0</v>
      </c>
      <c r="D22" s="22">
        <v>3366.0</v>
      </c>
      <c r="E22" s="22">
        <v>221.0</v>
      </c>
      <c r="F22" s="114">
        <f t="shared" ref="F22:F31" si="4">(E22/D22)*100</f>
        <v>6.565656566</v>
      </c>
      <c r="G22" s="22">
        <v>36.0</v>
      </c>
      <c r="H22" s="22">
        <v>4.0</v>
      </c>
      <c r="I22" s="115">
        <f t="shared" ref="I22:I31" si="5">(H22/G22)*100</f>
        <v>11.11111111</v>
      </c>
      <c r="K22" s="70" t="s">
        <v>131</v>
      </c>
      <c r="L22" s="43" t="s">
        <v>43</v>
      </c>
      <c r="M22" s="43">
        <v>2023.0</v>
      </c>
      <c r="N22" s="22">
        <v>28577.0</v>
      </c>
      <c r="O22" s="22">
        <v>0.0</v>
      </c>
      <c r="P22" s="115">
        <f t="shared" ref="P22:P31" si="6">(O22/N22)*100</f>
        <v>0</v>
      </c>
    </row>
    <row r="23" ht="14.25" customHeight="1">
      <c r="A23" s="70" t="s">
        <v>116</v>
      </c>
      <c r="B23" s="43" t="s">
        <v>37</v>
      </c>
      <c r="C23" s="43">
        <v>2022.0</v>
      </c>
      <c r="D23" s="22">
        <v>4567.0</v>
      </c>
      <c r="E23" s="22">
        <v>115.0</v>
      </c>
      <c r="F23" s="114">
        <f t="shared" si="4"/>
        <v>2.518064375</v>
      </c>
      <c r="G23" s="22">
        <v>25.0</v>
      </c>
      <c r="H23" s="22">
        <v>3.0</v>
      </c>
      <c r="I23" s="115">
        <f t="shared" si="5"/>
        <v>12</v>
      </c>
      <c r="K23" s="70" t="s">
        <v>116</v>
      </c>
      <c r="L23" s="43" t="s">
        <v>43</v>
      </c>
      <c r="M23" s="43">
        <v>2012.0</v>
      </c>
      <c r="N23" s="22">
        <v>21956.0</v>
      </c>
      <c r="O23" s="22">
        <v>0.0</v>
      </c>
      <c r="P23" s="115">
        <f t="shared" si="6"/>
        <v>0</v>
      </c>
    </row>
    <row r="24" ht="14.25" customHeight="1">
      <c r="A24" s="70" t="s">
        <v>142</v>
      </c>
      <c r="B24" s="43" t="s">
        <v>37</v>
      </c>
      <c r="C24" s="43">
        <v>2025.0</v>
      </c>
      <c r="D24" s="22">
        <v>4297.0</v>
      </c>
      <c r="E24" s="22">
        <v>56.0</v>
      </c>
      <c r="F24" s="114">
        <f t="shared" si="4"/>
        <v>1.303234815</v>
      </c>
      <c r="G24" s="22">
        <v>38.0</v>
      </c>
      <c r="H24" s="22">
        <v>2.0</v>
      </c>
      <c r="I24" s="115">
        <f t="shared" si="5"/>
        <v>5.263157895</v>
      </c>
      <c r="K24" s="70" t="s">
        <v>142</v>
      </c>
      <c r="L24" s="43" t="s">
        <v>43</v>
      </c>
      <c r="M24" s="43">
        <v>2025.0</v>
      </c>
      <c r="N24" s="22">
        <v>8891.0</v>
      </c>
      <c r="O24" s="22">
        <v>0.0</v>
      </c>
      <c r="P24" s="115">
        <f t="shared" si="6"/>
        <v>0</v>
      </c>
    </row>
    <row r="25" ht="14.25" customHeight="1">
      <c r="A25" s="75" t="s">
        <v>148</v>
      </c>
      <c r="B25" s="43" t="s">
        <v>37</v>
      </c>
      <c r="C25" s="43">
        <v>2024.0</v>
      </c>
      <c r="D25" s="22">
        <v>3635.0</v>
      </c>
      <c r="E25" s="22">
        <v>155.0</v>
      </c>
      <c r="F25" s="114">
        <f t="shared" si="4"/>
        <v>4.264099037</v>
      </c>
      <c r="G25" s="22">
        <v>39.0</v>
      </c>
      <c r="H25" s="22">
        <v>2.0</v>
      </c>
      <c r="I25" s="115">
        <f t="shared" si="5"/>
        <v>5.128205128</v>
      </c>
      <c r="K25" s="75" t="s">
        <v>148</v>
      </c>
      <c r="L25" s="43" t="s">
        <v>43</v>
      </c>
      <c r="M25" s="76">
        <v>2025.0</v>
      </c>
      <c r="N25" s="22">
        <v>4679.0</v>
      </c>
      <c r="O25" s="22">
        <v>0.0</v>
      </c>
      <c r="P25" s="115">
        <f t="shared" si="6"/>
        <v>0</v>
      </c>
    </row>
    <row r="26" ht="14.25" customHeight="1">
      <c r="A26" s="70" t="s">
        <v>154</v>
      </c>
      <c r="B26" s="43" t="s">
        <v>37</v>
      </c>
      <c r="C26" s="43">
        <v>2021.0</v>
      </c>
      <c r="D26" s="22">
        <v>3810.0</v>
      </c>
      <c r="E26" s="22">
        <v>24.0</v>
      </c>
      <c r="F26" s="114">
        <f t="shared" si="4"/>
        <v>0.6299212598</v>
      </c>
      <c r="G26" s="22">
        <v>18.0</v>
      </c>
      <c r="H26" s="22">
        <v>1.0</v>
      </c>
      <c r="I26" s="115">
        <f t="shared" si="5"/>
        <v>5.555555556</v>
      </c>
      <c r="K26" s="70" t="s">
        <v>274</v>
      </c>
      <c r="L26" s="43" t="s">
        <v>37</v>
      </c>
      <c r="M26" s="43">
        <v>2023.0</v>
      </c>
      <c r="N26" s="22">
        <v>14536.0</v>
      </c>
      <c r="O26" s="22">
        <v>32.0</v>
      </c>
      <c r="P26" s="115">
        <f t="shared" si="6"/>
        <v>0.220143093</v>
      </c>
    </row>
    <row r="27" ht="14.25" customHeight="1">
      <c r="A27" s="70" t="s">
        <v>159</v>
      </c>
      <c r="B27" s="43" t="s">
        <v>43</v>
      </c>
      <c r="C27" s="43">
        <v>2020.0</v>
      </c>
      <c r="D27" s="22">
        <v>1650.0</v>
      </c>
      <c r="E27" s="22">
        <v>0.0</v>
      </c>
      <c r="F27" s="114">
        <f t="shared" si="4"/>
        <v>0</v>
      </c>
      <c r="G27" s="22">
        <v>11.0</v>
      </c>
      <c r="H27" s="22">
        <v>0.0</v>
      </c>
      <c r="I27" s="115">
        <f t="shared" si="5"/>
        <v>0</v>
      </c>
      <c r="K27" s="70" t="s">
        <v>159</v>
      </c>
      <c r="L27" s="43" t="s">
        <v>43</v>
      </c>
      <c r="M27" s="43">
        <v>2014.0</v>
      </c>
      <c r="N27" s="22">
        <v>3752.0</v>
      </c>
      <c r="O27" s="22">
        <v>0.0</v>
      </c>
      <c r="P27" s="115">
        <f t="shared" si="6"/>
        <v>0</v>
      </c>
    </row>
    <row r="28" ht="14.25" customHeight="1">
      <c r="A28" s="70" t="s">
        <v>166</v>
      </c>
      <c r="B28" s="43" t="s">
        <v>37</v>
      </c>
      <c r="C28" s="43">
        <v>2017.0</v>
      </c>
      <c r="D28" s="22">
        <v>1512.0</v>
      </c>
      <c r="E28" s="22">
        <v>44.0</v>
      </c>
      <c r="F28" s="114">
        <f t="shared" si="4"/>
        <v>2.91005291</v>
      </c>
      <c r="G28" s="22">
        <v>22.0</v>
      </c>
      <c r="H28" s="22">
        <v>1.0</v>
      </c>
      <c r="I28" s="115">
        <f t="shared" si="5"/>
        <v>4.545454545</v>
      </c>
      <c r="K28" s="70" t="s">
        <v>166</v>
      </c>
      <c r="L28" s="43" t="s">
        <v>43</v>
      </c>
      <c r="M28" s="43">
        <v>2014.0</v>
      </c>
      <c r="N28" s="22">
        <v>9444.0</v>
      </c>
      <c r="O28" s="22">
        <v>0.0</v>
      </c>
      <c r="P28" s="115">
        <f t="shared" si="6"/>
        <v>0</v>
      </c>
    </row>
    <row r="29" ht="14.25" customHeight="1">
      <c r="A29" s="70" t="s">
        <v>170</v>
      </c>
      <c r="B29" s="43" t="s">
        <v>43</v>
      </c>
      <c r="C29" s="43">
        <v>2023.0</v>
      </c>
      <c r="D29" s="22">
        <v>1432.0</v>
      </c>
      <c r="E29" s="22">
        <v>0.0</v>
      </c>
      <c r="F29" s="114">
        <f t="shared" si="4"/>
        <v>0</v>
      </c>
      <c r="G29" s="22">
        <v>25.0</v>
      </c>
      <c r="H29" s="22">
        <v>0.0</v>
      </c>
      <c r="I29" s="115">
        <f t="shared" si="5"/>
        <v>0</v>
      </c>
      <c r="K29" s="70" t="s">
        <v>170</v>
      </c>
      <c r="L29" s="43" t="s">
        <v>43</v>
      </c>
      <c r="M29" s="43">
        <v>2023.0</v>
      </c>
      <c r="N29" s="22">
        <v>19558.0</v>
      </c>
      <c r="O29" s="22">
        <v>0.0</v>
      </c>
      <c r="P29" s="115">
        <f t="shared" si="6"/>
        <v>0</v>
      </c>
    </row>
    <row r="30" ht="14.25" customHeight="1">
      <c r="A30" s="70" t="s">
        <v>171</v>
      </c>
      <c r="B30" s="43" t="s">
        <v>43</v>
      </c>
      <c r="C30" s="43">
        <v>2024.0</v>
      </c>
      <c r="D30" s="22">
        <v>1370.0</v>
      </c>
      <c r="E30" s="22">
        <v>0.0</v>
      </c>
      <c r="F30" s="114">
        <f t="shared" si="4"/>
        <v>0</v>
      </c>
      <c r="G30" s="22">
        <v>22.0</v>
      </c>
      <c r="H30" s="22">
        <v>0.0</v>
      </c>
      <c r="I30" s="115">
        <f t="shared" si="5"/>
        <v>0</v>
      </c>
      <c r="K30" s="70" t="s">
        <v>171</v>
      </c>
      <c r="L30" s="43" t="s">
        <v>43</v>
      </c>
      <c r="M30" s="43">
        <v>2025.0</v>
      </c>
      <c r="N30" s="22">
        <v>217.0</v>
      </c>
      <c r="O30" s="22">
        <v>0.0</v>
      </c>
      <c r="P30" s="115">
        <f t="shared" si="6"/>
        <v>0</v>
      </c>
    </row>
    <row r="31" ht="14.25" customHeight="1">
      <c r="A31" s="79" t="s">
        <v>173</v>
      </c>
      <c r="B31" s="80" t="s">
        <v>43</v>
      </c>
      <c r="C31" s="80">
        <v>2024.0</v>
      </c>
      <c r="D31" s="47">
        <v>3166.0</v>
      </c>
      <c r="E31" s="47">
        <v>0.0</v>
      </c>
      <c r="F31" s="116">
        <f t="shared" si="4"/>
        <v>0</v>
      </c>
      <c r="G31" s="47">
        <v>22.0</v>
      </c>
      <c r="H31" s="47">
        <v>0.0</v>
      </c>
      <c r="I31" s="117">
        <f t="shared" si="5"/>
        <v>0</v>
      </c>
      <c r="K31" s="79" t="s">
        <v>173</v>
      </c>
      <c r="L31" s="80" t="s">
        <v>43</v>
      </c>
      <c r="M31" s="80">
        <v>2023.0</v>
      </c>
      <c r="N31" s="47">
        <v>2519.0</v>
      </c>
      <c r="O31" s="47">
        <v>0.0</v>
      </c>
      <c r="P31" s="117">
        <f t="shared" si="6"/>
        <v>0</v>
      </c>
    </row>
    <row r="32" ht="14.25" customHeight="1"/>
    <row r="33" ht="14.25" customHeight="1">
      <c r="A33" s="25" t="s">
        <v>174</v>
      </c>
      <c r="B33" s="31"/>
      <c r="C33" s="31"/>
      <c r="D33" s="31"/>
      <c r="E33" s="31"/>
      <c r="F33" s="31"/>
      <c r="G33" s="31"/>
      <c r="H33" s="31"/>
      <c r="I33" s="32"/>
      <c r="K33" s="25" t="s">
        <v>174</v>
      </c>
      <c r="L33" s="31"/>
      <c r="M33" s="31"/>
      <c r="N33" s="31"/>
      <c r="O33" s="31"/>
      <c r="P33" s="32"/>
    </row>
    <row r="34" ht="14.25" customHeight="1">
      <c r="A34" s="36" t="s">
        <v>176</v>
      </c>
      <c r="B34" s="22" t="s">
        <v>37</v>
      </c>
      <c r="C34" s="22">
        <v>2022.0</v>
      </c>
      <c r="D34" s="22">
        <v>17927.0</v>
      </c>
      <c r="E34" s="22">
        <v>126.0</v>
      </c>
      <c r="F34" s="114">
        <f t="shared" ref="F34:F39" si="7">(E34/D34)*100</f>
        <v>0.702850449</v>
      </c>
      <c r="G34" s="22">
        <v>131.0</v>
      </c>
      <c r="H34" s="22">
        <v>1.0</v>
      </c>
      <c r="I34" s="115">
        <f t="shared" ref="I34:I39" si="8">(H34/G34)*100</f>
        <v>0.7633587786</v>
      </c>
      <c r="K34" s="36" t="s">
        <v>176</v>
      </c>
      <c r="L34" s="22" t="s">
        <v>43</v>
      </c>
      <c r="M34" s="22">
        <v>2024.0</v>
      </c>
      <c r="N34" s="22">
        <v>19787.0</v>
      </c>
      <c r="O34" s="22">
        <v>0.0</v>
      </c>
      <c r="P34" s="115">
        <f t="shared" ref="P34:P39" si="9">(O34/N34)*100</f>
        <v>0</v>
      </c>
    </row>
    <row r="35" ht="14.25" customHeight="1">
      <c r="A35" s="36" t="s">
        <v>178</v>
      </c>
      <c r="B35" s="22" t="s">
        <v>43</v>
      </c>
      <c r="C35" s="22">
        <v>2016.0</v>
      </c>
      <c r="D35" s="22">
        <v>17269.0</v>
      </c>
      <c r="E35" s="22">
        <v>0.0</v>
      </c>
      <c r="F35" s="114">
        <f t="shared" si="7"/>
        <v>0</v>
      </c>
      <c r="G35" s="22">
        <v>187.0</v>
      </c>
      <c r="H35" s="22">
        <v>0.0</v>
      </c>
      <c r="I35" s="115">
        <f t="shared" si="8"/>
        <v>0</v>
      </c>
      <c r="K35" s="36" t="s">
        <v>178</v>
      </c>
      <c r="L35" s="22" t="s">
        <v>43</v>
      </c>
      <c r="M35" s="22">
        <v>2024.0</v>
      </c>
      <c r="N35" s="22">
        <v>124000.0</v>
      </c>
      <c r="O35" s="22">
        <v>0.0</v>
      </c>
      <c r="P35" s="115">
        <f t="shared" si="9"/>
        <v>0</v>
      </c>
    </row>
    <row r="36" ht="14.25" customHeight="1">
      <c r="A36" s="36" t="s">
        <v>180</v>
      </c>
      <c r="B36" s="22" t="s">
        <v>43</v>
      </c>
      <c r="C36" s="22">
        <v>2022.0</v>
      </c>
      <c r="D36" s="22">
        <v>10120.0</v>
      </c>
      <c r="E36" s="22">
        <v>0.0</v>
      </c>
      <c r="F36" s="114">
        <f t="shared" si="7"/>
        <v>0</v>
      </c>
      <c r="G36" s="22">
        <v>105.0</v>
      </c>
      <c r="H36" s="22">
        <v>0.0</v>
      </c>
      <c r="I36" s="115">
        <f t="shared" si="8"/>
        <v>0</v>
      </c>
      <c r="K36" s="36" t="s">
        <v>180</v>
      </c>
      <c r="L36" s="22" t="s">
        <v>37</v>
      </c>
      <c r="M36" s="22">
        <v>2024.0</v>
      </c>
      <c r="N36" s="22">
        <v>287681.0</v>
      </c>
      <c r="O36" s="22">
        <v>51.0</v>
      </c>
      <c r="P36" s="115">
        <f t="shared" si="9"/>
        <v>0.01772796952</v>
      </c>
    </row>
    <row r="37" ht="14.25" customHeight="1">
      <c r="A37" s="36" t="s">
        <v>182</v>
      </c>
      <c r="B37" s="22" t="s">
        <v>37</v>
      </c>
      <c r="C37" s="22">
        <v>2021.0</v>
      </c>
      <c r="D37" s="22">
        <v>7481.0</v>
      </c>
      <c r="E37" s="22">
        <v>111.0</v>
      </c>
      <c r="F37" s="114">
        <f t="shared" si="7"/>
        <v>1.483758856</v>
      </c>
      <c r="G37" s="22">
        <v>29.0</v>
      </c>
      <c r="H37" s="22">
        <v>1.0</v>
      </c>
      <c r="I37" s="115">
        <f t="shared" si="8"/>
        <v>3.448275862</v>
      </c>
      <c r="K37" s="36" t="s">
        <v>182</v>
      </c>
      <c r="L37" s="22" t="s">
        <v>37</v>
      </c>
      <c r="M37" s="22">
        <v>2024.0</v>
      </c>
      <c r="N37" s="22">
        <v>163937.0</v>
      </c>
      <c r="O37" s="22">
        <v>343.0</v>
      </c>
      <c r="P37" s="115">
        <f t="shared" si="9"/>
        <v>0.2092267151</v>
      </c>
    </row>
    <row r="38" ht="14.25" customHeight="1">
      <c r="A38" s="36" t="s">
        <v>185</v>
      </c>
      <c r="B38" s="22" t="s">
        <v>37</v>
      </c>
      <c r="C38" s="22">
        <v>2022.0</v>
      </c>
      <c r="D38" s="22">
        <v>19294.0</v>
      </c>
      <c r="E38" s="22">
        <v>240.0</v>
      </c>
      <c r="F38" s="114">
        <f t="shared" si="7"/>
        <v>1.243910024</v>
      </c>
      <c r="G38" s="22">
        <v>95.0</v>
      </c>
      <c r="H38" s="22">
        <v>2.0</v>
      </c>
      <c r="I38" s="115">
        <f t="shared" si="8"/>
        <v>2.105263158</v>
      </c>
      <c r="K38" s="36" t="s">
        <v>185</v>
      </c>
      <c r="L38" s="22" t="s">
        <v>43</v>
      </c>
      <c r="M38" s="22">
        <v>2024.0</v>
      </c>
      <c r="N38" s="22">
        <v>4775.0</v>
      </c>
      <c r="O38" s="22">
        <v>0.0</v>
      </c>
      <c r="P38" s="115">
        <f t="shared" si="9"/>
        <v>0</v>
      </c>
    </row>
    <row r="39" ht="14.25" customHeight="1">
      <c r="A39" s="36" t="s">
        <v>189</v>
      </c>
      <c r="B39" s="22" t="s">
        <v>43</v>
      </c>
      <c r="C39" s="22">
        <v>2015.0</v>
      </c>
      <c r="D39" s="22">
        <v>5800.0</v>
      </c>
      <c r="E39" s="22">
        <v>0.0</v>
      </c>
      <c r="F39" s="116">
        <f t="shared" si="7"/>
        <v>0</v>
      </c>
      <c r="G39" s="22">
        <v>61.0</v>
      </c>
      <c r="H39" s="22">
        <v>0.0</v>
      </c>
      <c r="I39" s="117">
        <f t="shared" si="8"/>
        <v>0</v>
      </c>
      <c r="K39" s="36" t="s">
        <v>189</v>
      </c>
      <c r="L39" s="22" t="s">
        <v>43</v>
      </c>
      <c r="M39" s="22" t="s">
        <v>275</v>
      </c>
      <c r="N39" s="22">
        <v>128645.0</v>
      </c>
      <c r="O39" s="22">
        <v>0.0</v>
      </c>
      <c r="P39" s="117">
        <f t="shared" si="9"/>
        <v>0</v>
      </c>
    </row>
    <row r="40" ht="14.25" customHeight="1">
      <c r="A40" s="25" t="s">
        <v>193</v>
      </c>
      <c r="B40" s="31"/>
      <c r="C40" s="31"/>
      <c r="D40" s="31"/>
      <c r="E40" s="31"/>
      <c r="F40" s="31"/>
      <c r="G40" s="31"/>
      <c r="H40" s="31"/>
      <c r="I40" s="32"/>
      <c r="K40" s="25" t="s">
        <v>193</v>
      </c>
      <c r="L40" s="31"/>
      <c r="M40" s="31"/>
      <c r="N40" s="31"/>
      <c r="O40" s="31"/>
      <c r="P40" s="32"/>
    </row>
    <row r="41" ht="14.25" customHeight="1">
      <c r="A41" s="33" t="s">
        <v>195</v>
      </c>
      <c r="B41" s="3" t="s">
        <v>37</v>
      </c>
      <c r="C41" s="3">
        <v>2021.0</v>
      </c>
      <c r="D41" s="3">
        <v>22622.0</v>
      </c>
      <c r="E41" s="3">
        <v>82.0</v>
      </c>
      <c r="F41" s="112">
        <f t="shared" ref="F41:F46" si="10">(E41/D41)*100</f>
        <v>0.3624790027</v>
      </c>
      <c r="G41" s="3">
        <v>78.0</v>
      </c>
      <c r="H41" s="3">
        <v>1.0</v>
      </c>
      <c r="I41" s="113">
        <f t="shared" ref="I41:I46" si="11">(H41/G41)*100</f>
        <v>1.282051282</v>
      </c>
      <c r="K41" s="33" t="s">
        <v>195</v>
      </c>
      <c r="L41" s="3" t="s">
        <v>37</v>
      </c>
      <c r="M41" s="3">
        <v>2024.0</v>
      </c>
      <c r="N41" s="3">
        <v>224142.0</v>
      </c>
      <c r="O41" s="3">
        <v>284.0</v>
      </c>
      <c r="P41" s="115">
        <f t="shared" ref="P41:P46" si="12">(O41/N41)*100</f>
        <v>0.1267053921</v>
      </c>
    </row>
    <row r="42" ht="14.25" customHeight="1">
      <c r="A42" s="36" t="s">
        <v>198</v>
      </c>
      <c r="B42" s="22" t="s">
        <v>43</v>
      </c>
      <c r="C42" s="22">
        <v>2019.0</v>
      </c>
      <c r="D42" s="22">
        <v>9277.0</v>
      </c>
      <c r="E42" s="22">
        <v>0.0</v>
      </c>
      <c r="F42" s="114">
        <f t="shared" si="10"/>
        <v>0</v>
      </c>
      <c r="G42" s="22">
        <v>23.0</v>
      </c>
      <c r="H42" s="22">
        <v>0.0</v>
      </c>
      <c r="I42" s="115">
        <f t="shared" si="11"/>
        <v>0</v>
      </c>
      <c r="K42" s="36" t="s">
        <v>198</v>
      </c>
      <c r="L42" s="22" t="s">
        <v>37</v>
      </c>
      <c r="M42" s="22">
        <v>2024.0</v>
      </c>
      <c r="N42" s="22">
        <v>19105.0</v>
      </c>
      <c r="O42" s="22">
        <v>37.0</v>
      </c>
      <c r="P42" s="115">
        <f t="shared" si="12"/>
        <v>0.1936665794</v>
      </c>
    </row>
    <row r="43" ht="14.25" customHeight="1">
      <c r="A43" s="36" t="s">
        <v>201</v>
      </c>
      <c r="B43" s="22" t="s">
        <v>37</v>
      </c>
      <c r="C43" s="22">
        <v>2025.0</v>
      </c>
      <c r="D43" s="22">
        <v>18212.0</v>
      </c>
      <c r="E43" s="22">
        <v>55.0</v>
      </c>
      <c r="F43" s="114">
        <f t="shared" si="10"/>
        <v>0.3019986822</v>
      </c>
      <c r="G43" s="22">
        <v>234.0</v>
      </c>
      <c r="H43" s="22">
        <v>1.0</v>
      </c>
      <c r="I43" s="115">
        <f t="shared" si="11"/>
        <v>0.4273504274</v>
      </c>
      <c r="K43" s="36" t="s">
        <v>201</v>
      </c>
      <c r="L43" s="22" t="s">
        <v>37</v>
      </c>
      <c r="M43" s="22">
        <v>2024.0</v>
      </c>
      <c r="N43" s="22">
        <v>57358.0</v>
      </c>
      <c r="O43" s="22">
        <v>38.0</v>
      </c>
      <c r="P43" s="115">
        <f t="shared" si="12"/>
        <v>0.06625056662</v>
      </c>
    </row>
    <row r="44" ht="14.25" customHeight="1">
      <c r="A44" s="36" t="s">
        <v>202</v>
      </c>
      <c r="B44" s="22" t="s">
        <v>43</v>
      </c>
      <c r="C44" s="22">
        <v>2022.0</v>
      </c>
      <c r="D44" s="22">
        <v>4763.0</v>
      </c>
      <c r="E44" s="22">
        <v>0.0</v>
      </c>
      <c r="F44" s="114">
        <f t="shared" si="10"/>
        <v>0</v>
      </c>
      <c r="G44" s="22">
        <v>32.0</v>
      </c>
      <c r="H44" s="22">
        <v>0.0</v>
      </c>
      <c r="I44" s="115">
        <f t="shared" si="11"/>
        <v>0</v>
      </c>
      <c r="K44" s="36" t="s">
        <v>202</v>
      </c>
      <c r="L44" s="22" t="s">
        <v>37</v>
      </c>
      <c r="M44" s="22">
        <v>2024.0</v>
      </c>
      <c r="N44" s="22">
        <v>55009.0</v>
      </c>
      <c r="O44" s="22">
        <v>196.0</v>
      </c>
      <c r="P44" s="115">
        <f t="shared" si="12"/>
        <v>0.3563053319</v>
      </c>
    </row>
    <row r="45" ht="14.25" customHeight="1">
      <c r="A45" s="36" t="s">
        <v>204</v>
      </c>
      <c r="B45" s="22" t="s">
        <v>43</v>
      </c>
      <c r="C45" s="22">
        <v>2011.0</v>
      </c>
      <c r="D45" s="22">
        <v>5280.0</v>
      </c>
      <c r="E45" s="22">
        <v>0.0</v>
      </c>
      <c r="F45" s="114">
        <f t="shared" si="10"/>
        <v>0</v>
      </c>
      <c r="G45" s="22">
        <v>26.0</v>
      </c>
      <c r="H45" s="22">
        <v>0.0</v>
      </c>
      <c r="I45" s="115">
        <f t="shared" si="11"/>
        <v>0</v>
      </c>
      <c r="K45" s="36" t="s">
        <v>204</v>
      </c>
      <c r="L45" s="22" t="s">
        <v>37</v>
      </c>
      <c r="M45" s="22">
        <v>2024.0</v>
      </c>
      <c r="N45" s="22">
        <v>33195.0</v>
      </c>
      <c r="O45" s="22">
        <v>10.0</v>
      </c>
      <c r="P45" s="115">
        <f t="shared" si="12"/>
        <v>0.03012501883</v>
      </c>
    </row>
    <row r="46" ht="14.25" customHeight="1">
      <c r="A46" s="46" t="s">
        <v>205</v>
      </c>
      <c r="B46" s="47" t="s">
        <v>43</v>
      </c>
      <c r="C46" s="47">
        <v>2022.0</v>
      </c>
      <c r="D46" s="47">
        <v>9032.0</v>
      </c>
      <c r="E46" s="47">
        <v>0.0</v>
      </c>
      <c r="F46" s="116">
        <f t="shared" si="10"/>
        <v>0</v>
      </c>
      <c r="G46" s="47">
        <v>85.0</v>
      </c>
      <c r="H46" s="47">
        <v>0.0</v>
      </c>
      <c r="I46" s="117">
        <f t="shared" si="11"/>
        <v>0</v>
      </c>
      <c r="K46" s="46" t="s">
        <v>205</v>
      </c>
      <c r="L46" s="47" t="s">
        <v>37</v>
      </c>
      <c r="M46" s="47">
        <v>2024.0</v>
      </c>
      <c r="N46" s="47">
        <v>92497.0</v>
      </c>
      <c r="O46" s="47">
        <v>43.0</v>
      </c>
      <c r="P46" s="117">
        <f t="shared" si="12"/>
        <v>0.04648799421</v>
      </c>
    </row>
    <row r="47" ht="14.25" customHeight="1">
      <c r="F47" s="116"/>
    </row>
    <row r="48" ht="14.25" customHeight="1">
      <c r="A48" s="30" t="s">
        <v>207</v>
      </c>
      <c r="B48" s="31"/>
      <c r="C48" s="31"/>
      <c r="D48" s="31"/>
      <c r="E48" s="31"/>
      <c r="F48" s="31"/>
      <c r="G48" s="31"/>
      <c r="H48" s="31"/>
      <c r="I48" s="32"/>
      <c r="K48" s="30" t="s">
        <v>207</v>
      </c>
      <c r="L48" s="31"/>
      <c r="M48" s="31"/>
      <c r="N48" s="31"/>
      <c r="O48" s="31"/>
      <c r="P48" s="32"/>
    </row>
    <row r="49" ht="14.25" customHeight="1">
      <c r="A49" s="46" t="s">
        <v>208</v>
      </c>
      <c r="B49" s="80" t="s">
        <v>37</v>
      </c>
      <c r="C49" s="47">
        <v>2022.0</v>
      </c>
      <c r="D49" s="47">
        <v>5877.0</v>
      </c>
      <c r="E49" s="47">
        <v>16.0</v>
      </c>
      <c r="F49" s="116">
        <f>(E49/D49)*100</f>
        <v>0.2722477454</v>
      </c>
      <c r="G49" s="47">
        <v>30.0</v>
      </c>
      <c r="H49" s="47">
        <v>1.0</v>
      </c>
      <c r="I49" s="117">
        <f>(H49/G49)*100</f>
        <v>3.333333333</v>
      </c>
      <c r="K49" s="46" t="s">
        <v>208</v>
      </c>
      <c r="L49" s="82" t="s">
        <v>43</v>
      </c>
      <c r="M49" s="47">
        <v>2024.0</v>
      </c>
      <c r="N49" s="47">
        <v>19702.0</v>
      </c>
      <c r="O49" s="47">
        <v>0.0</v>
      </c>
      <c r="P49" s="117">
        <f>(O49/N49)*100</f>
        <v>0</v>
      </c>
    </row>
    <row r="50" ht="14.25" customHeight="1"/>
    <row r="51" ht="14.25" customHeight="1">
      <c r="A51" s="30" t="s">
        <v>212</v>
      </c>
      <c r="B51" s="31"/>
      <c r="C51" s="31"/>
      <c r="D51" s="31"/>
      <c r="E51" s="31"/>
      <c r="F51" s="31"/>
      <c r="G51" s="31"/>
      <c r="H51" s="31"/>
      <c r="I51" s="32"/>
      <c r="K51" s="30" t="s">
        <v>212</v>
      </c>
      <c r="L51" s="31"/>
      <c r="M51" s="31"/>
      <c r="N51" s="31"/>
      <c r="O51" s="31"/>
      <c r="P51" s="32"/>
    </row>
    <row r="52" ht="14.25" customHeight="1">
      <c r="A52" s="119" t="s">
        <v>213</v>
      </c>
      <c r="B52" s="22" t="s">
        <v>37</v>
      </c>
      <c r="C52" s="22">
        <v>2025.0</v>
      </c>
      <c r="D52" s="22">
        <v>8347.0</v>
      </c>
      <c r="E52" s="22">
        <v>83.0</v>
      </c>
      <c r="F52" s="114">
        <f t="shared" ref="F52:F53" si="13">(E52/D52)*100</f>
        <v>0.9943692345</v>
      </c>
      <c r="G52" s="22">
        <v>22.0</v>
      </c>
      <c r="H52" s="22">
        <v>1.0</v>
      </c>
      <c r="I52" s="115">
        <f t="shared" ref="I52:I53" si="14">(H52/G52)*100</f>
        <v>4.545454545</v>
      </c>
      <c r="K52" s="119" t="s">
        <v>213</v>
      </c>
      <c r="L52" s="22" t="s">
        <v>43</v>
      </c>
      <c r="M52" s="22">
        <v>2016.0</v>
      </c>
      <c r="N52" s="22">
        <v>25449.0</v>
      </c>
      <c r="O52" s="22">
        <v>0.0</v>
      </c>
      <c r="P52" s="115">
        <f t="shared" ref="P52:P53" si="15">(O52/N52)*100</f>
        <v>0</v>
      </c>
    </row>
    <row r="53" ht="14.25" customHeight="1">
      <c r="A53" s="46" t="s">
        <v>216</v>
      </c>
      <c r="B53" s="47" t="s">
        <v>37</v>
      </c>
      <c r="C53" s="47">
        <v>2024.0</v>
      </c>
      <c r="D53" s="47">
        <v>8426.0</v>
      </c>
      <c r="E53" s="47">
        <v>44.0</v>
      </c>
      <c r="F53" s="116">
        <f t="shared" si="13"/>
        <v>0.5221932115</v>
      </c>
      <c r="G53" s="47">
        <v>40.0</v>
      </c>
      <c r="H53" s="47">
        <v>1.0</v>
      </c>
      <c r="I53" s="117">
        <f t="shared" si="14"/>
        <v>2.5</v>
      </c>
      <c r="K53" s="46" t="s">
        <v>216</v>
      </c>
      <c r="L53" s="47" t="s">
        <v>43</v>
      </c>
      <c r="M53" s="47">
        <v>2024.0</v>
      </c>
      <c r="N53" s="47">
        <v>30416.0</v>
      </c>
      <c r="O53" s="47">
        <v>0.0</v>
      </c>
      <c r="P53" s="117">
        <f t="shared" si="15"/>
        <v>0</v>
      </c>
    </row>
    <row r="54" ht="14.25" customHeight="1"/>
    <row r="55" ht="14.25" customHeight="1">
      <c r="A55" s="22" t="s">
        <v>276</v>
      </c>
    </row>
    <row r="56" ht="14.25" customHeight="1">
      <c r="A56" s="22" t="s">
        <v>277</v>
      </c>
    </row>
    <row r="57" ht="14.25" customHeight="1">
      <c r="A57" s="22" t="s">
        <v>278</v>
      </c>
    </row>
    <row r="58" ht="14.25" customHeight="1">
      <c r="A58" s="22" t="s">
        <v>279</v>
      </c>
    </row>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0.71"/>
    <col customWidth="1" min="2" max="7" width="21.29"/>
    <col customWidth="1" min="8" max="12" width="20.71"/>
    <col customWidth="1" min="13" max="13" width="21.29"/>
    <col customWidth="1" min="14" max="26" width="10.71"/>
  </cols>
  <sheetData>
    <row r="1" ht="14.25" customHeight="1">
      <c r="A1" s="120" t="s">
        <v>280</v>
      </c>
    </row>
    <row r="2" ht="14.25" customHeight="1">
      <c r="A2" s="121" t="s">
        <v>4</v>
      </c>
      <c r="B2" s="122" t="s">
        <v>27</v>
      </c>
      <c r="C2" s="2"/>
      <c r="D2" s="59"/>
      <c r="E2" s="122" t="s">
        <v>28</v>
      </c>
      <c r="F2" s="2"/>
      <c r="G2" s="59"/>
      <c r="H2" s="122" t="s">
        <v>29</v>
      </c>
      <c r="I2" s="2"/>
      <c r="J2" s="59"/>
      <c r="K2" s="122" t="s">
        <v>30</v>
      </c>
      <c r="L2" s="2"/>
      <c r="M2" s="59"/>
    </row>
    <row r="3" ht="14.25" customHeight="1">
      <c r="A3" s="30" t="s">
        <v>32</v>
      </c>
      <c r="B3" s="31"/>
      <c r="C3" s="31"/>
      <c r="D3" s="31"/>
      <c r="E3" s="31"/>
      <c r="F3" s="31"/>
      <c r="G3" s="31"/>
      <c r="H3" s="31"/>
      <c r="I3" s="31"/>
      <c r="J3" s="31"/>
      <c r="K3" s="31"/>
      <c r="L3" s="31"/>
      <c r="M3" s="31"/>
    </row>
    <row r="4" ht="14.25" customHeight="1">
      <c r="A4" s="33" t="s">
        <v>35</v>
      </c>
      <c r="B4" s="123" t="s">
        <v>37</v>
      </c>
      <c r="C4" s="124">
        <v>167.802</v>
      </c>
      <c r="D4" s="125">
        <v>45989.0</v>
      </c>
      <c r="E4" s="123" t="s">
        <v>37</v>
      </c>
      <c r="F4" s="126">
        <v>64.0</v>
      </c>
      <c r="G4" s="125">
        <v>45979.0</v>
      </c>
      <c r="H4" s="123" t="s">
        <v>37</v>
      </c>
      <c r="I4" s="124">
        <v>60.759</v>
      </c>
      <c r="J4" s="125">
        <v>45989.0</v>
      </c>
      <c r="K4" s="123" t="s">
        <v>37</v>
      </c>
      <c r="L4" s="126">
        <v>116.8</v>
      </c>
      <c r="M4" s="125">
        <v>45973.0</v>
      </c>
    </row>
    <row r="5" ht="14.25" customHeight="1">
      <c r="A5" s="36" t="s">
        <v>48</v>
      </c>
      <c r="B5" s="127" t="s">
        <v>37</v>
      </c>
      <c r="C5" s="11">
        <v>55.164</v>
      </c>
      <c r="D5" s="128">
        <v>45988.0</v>
      </c>
      <c r="E5" s="127" t="s">
        <v>37</v>
      </c>
      <c r="F5" s="129">
        <v>23.3</v>
      </c>
      <c r="G5" s="128">
        <v>45988.0</v>
      </c>
      <c r="H5" s="127" t="s">
        <v>37</v>
      </c>
      <c r="I5" s="11">
        <v>60.887</v>
      </c>
      <c r="J5" s="128">
        <v>45988.0</v>
      </c>
      <c r="K5" s="127" t="s">
        <v>37</v>
      </c>
      <c r="L5" s="11">
        <v>1.543</v>
      </c>
      <c r="M5" s="128">
        <v>45979.0</v>
      </c>
    </row>
    <row r="6" ht="14.25" customHeight="1">
      <c r="A6" s="36" t="s">
        <v>60</v>
      </c>
      <c r="B6" s="127" t="s">
        <v>37</v>
      </c>
      <c r="C6" s="11">
        <v>33.352</v>
      </c>
      <c r="D6" s="128">
        <v>45988.0</v>
      </c>
      <c r="E6" s="127" t="s">
        <v>37</v>
      </c>
      <c r="F6" s="129">
        <v>19.3</v>
      </c>
      <c r="G6" s="128">
        <v>45989.0</v>
      </c>
      <c r="H6" s="127" t="s">
        <v>37</v>
      </c>
      <c r="I6" s="11">
        <v>40.946</v>
      </c>
      <c r="J6" s="128">
        <v>45988.0</v>
      </c>
      <c r="K6" s="127" t="s">
        <v>43</v>
      </c>
      <c r="L6" s="129" t="s">
        <v>39</v>
      </c>
      <c r="M6" s="42" t="s">
        <v>39</v>
      </c>
    </row>
    <row r="7" ht="14.25" customHeight="1">
      <c r="A7" s="36" t="s">
        <v>64</v>
      </c>
      <c r="B7" s="127" t="s">
        <v>37</v>
      </c>
      <c r="C7" s="11">
        <v>75.097</v>
      </c>
      <c r="D7" s="128">
        <v>45988.0</v>
      </c>
      <c r="E7" s="127" t="s">
        <v>37</v>
      </c>
      <c r="F7" s="129">
        <v>101.0</v>
      </c>
      <c r="G7" s="128">
        <v>45988.0</v>
      </c>
      <c r="H7" s="127" t="s">
        <v>37</v>
      </c>
      <c r="I7" s="11">
        <v>206329.0</v>
      </c>
      <c r="J7" s="128">
        <v>45989.0</v>
      </c>
      <c r="K7" s="127" t="s">
        <v>37</v>
      </c>
      <c r="L7" s="11">
        <v>37.2</v>
      </c>
      <c r="M7" s="128">
        <v>45988.0</v>
      </c>
    </row>
    <row r="8" ht="14.25" customHeight="1">
      <c r="A8" s="36" t="s">
        <v>74</v>
      </c>
      <c r="B8" s="127" t="s">
        <v>37</v>
      </c>
      <c r="C8" s="11">
        <v>101.122</v>
      </c>
      <c r="D8" s="128">
        <v>45986.0</v>
      </c>
      <c r="E8" s="127" t="s">
        <v>37</v>
      </c>
      <c r="F8" s="129">
        <v>55.7</v>
      </c>
      <c r="G8" s="128">
        <v>45987.0</v>
      </c>
      <c r="H8" s="127" t="s">
        <v>37</v>
      </c>
      <c r="I8" s="11">
        <v>23.677</v>
      </c>
      <c r="J8" s="128">
        <v>45967.0</v>
      </c>
      <c r="K8" s="127" t="s">
        <v>37</v>
      </c>
      <c r="L8" s="11">
        <v>89.4</v>
      </c>
      <c r="M8" s="128">
        <v>45987.0</v>
      </c>
    </row>
    <row r="9" ht="14.25" customHeight="1">
      <c r="A9" s="36" t="s">
        <v>77</v>
      </c>
      <c r="B9" s="127" t="s">
        <v>37</v>
      </c>
      <c r="C9" s="11">
        <v>298.622</v>
      </c>
      <c r="D9" s="128">
        <v>45989.0</v>
      </c>
      <c r="E9" s="127" t="s">
        <v>37</v>
      </c>
      <c r="F9" s="129">
        <v>90.1</v>
      </c>
      <c r="G9" s="128">
        <v>45989.0</v>
      </c>
      <c r="H9" s="127" t="s">
        <v>37</v>
      </c>
      <c r="I9" s="11">
        <v>181.316</v>
      </c>
      <c r="J9" s="128">
        <v>45989.0</v>
      </c>
      <c r="K9" s="127" t="s">
        <v>37</v>
      </c>
      <c r="L9" s="11">
        <v>101.2</v>
      </c>
      <c r="M9" s="128">
        <v>45989.0</v>
      </c>
    </row>
    <row r="10" ht="14.25" customHeight="1">
      <c r="A10" s="36" t="s">
        <v>83</v>
      </c>
      <c r="B10" s="127" t="s">
        <v>37</v>
      </c>
      <c r="C10" s="11">
        <v>81.049</v>
      </c>
      <c r="D10" s="128">
        <v>45967.0</v>
      </c>
      <c r="E10" s="127" t="s">
        <v>37</v>
      </c>
      <c r="F10" s="129">
        <v>41.2</v>
      </c>
      <c r="G10" s="128">
        <v>45989.0</v>
      </c>
      <c r="H10" s="127" t="s">
        <v>37</v>
      </c>
      <c r="I10" s="129">
        <v>138.764</v>
      </c>
      <c r="J10" s="128">
        <v>45959.0</v>
      </c>
      <c r="K10" s="127" t="s">
        <v>37</v>
      </c>
      <c r="L10" s="129">
        <v>60.8</v>
      </c>
      <c r="M10" s="128">
        <v>45987.0</v>
      </c>
    </row>
    <row r="11" ht="14.25" customHeight="1">
      <c r="A11" s="36" t="s">
        <v>91</v>
      </c>
      <c r="B11" s="127" t="s">
        <v>37</v>
      </c>
      <c r="C11" s="11">
        <v>55.282</v>
      </c>
      <c r="D11" s="128">
        <v>45989.0</v>
      </c>
      <c r="E11" s="127" t="s">
        <v>37</v>
      </c>
      <c r="F11" s="129" t="s">
        <v>281</v>
      </c>
      <c r="G11" s="128">
        <v>45989.0</v>
      </c>
      <c r="H11" s="127" t="s">
        <v>37</v>
      </c>
      <c r="I11" s="11">
        <v>47.566</v>
      </c>
      <c r="J11" s="128">
        <v>45989.0</v>
      </c>
      <c r="K11" s="127" t="s">
        <v>37</v>
      </c>
      <c r="L11" s="129">
        <v>32.7</v>
      </c>
      <c r="M11" s="128">
        <v>45988.0</v>
      </c>
    </row>
    <row r="12" ht="14.25" customHeight="1">
      <c r="A12" s="36" t="s">
        <v>95</v>
      </c>
      <c r="B12" s="127" t="s">
        <v>37</v>
      </c>
      <c r="C12" s="11">
        <v>6237.0</v>
      </c>
      <c r="D12" s="128">
        <v>45972.0</v>
      </c>
      <c r="E12" s="127" t="s">
        <v>37</v>
      </c>
      <c r="F12" s="129">
        <v>17.3</v>
      </c>
      <c r="G12" s="128">
        <v>45972.0</v>
      </c>
      <c r="H12" s="127" t="s">
        <v>37</v>
      </c>
      <c r="I12" s="11">
        <v>35.383</v>
      </c>
      <c r="J12" s="128">
        <v>45979.0</v>
      </c>
      <c r="K12" s="127" t="s">
        <v>37</v>
      </c>
      <c r="L12" s="129">
        <v>1.29</v>
      </c>
      <c r="M12" s="128">
        <v>45959.0</v>
      </c>
    </row>
    <row r="13" ht="14.25" customHeight="1">
      <c r="A13" s="36" t="s">
        <v>102</v>
      </c>
      <c r="B13" s="127" t="s">
        <v>37</v>
      </c>
      <c r="C13" s="11">
        <v>48.61</v>
      </c>
      <c r="D13" s="128">
        <v>45967.0</v>
      </c>
      <c r="E13" s="127" t="s">
        <v>37</v>
      </c>
      <c r="F13" s="129">
        <v>27.8</v>
      </c>
      <c r="G13" s="128">
        <v>45988.0</v>
      </c>
      <c r="H13" s="127" t="s">
        <v>37</v>
      </c>
      <c r="I13" s="129">
        <v>148.14</v>
      </c>
      <c r="J13" s="128">
        <v>45959.0</v>
      </c>
      <c r="K13" s="127" t="s">
        <v>37</v>
      </c>
      <c r="L13" s="129">
        <v>60.8</v>
      </c>
      <c r="M13" s="128">
        <v>45987.0</v>
      </c>
    </row>
    <row r="14" ht="14.25" customHeight="1">
      <c r="A14" s="36" t="s">
        <v>106</v>
      </c>
      <c r="B14" s="127" t="s">
        <v>37</v>
      </c>
      <c r="C14" s="11">
        <v>121.273</v>
      </c>
      <c r="D14" s="128">
        <v>45988.0</v>
      </c>
      <c r="E14" s="127" t="s">
        <v>37</v>
      </c>
      <c r="F14" s="129">
        <v>81.6</v>
      </c>
      <c r="G14" s="128">
        <v>45988.0</v>
      </c>
      <c r="H14" s="127" t="s">
        <v>43</v>
      </c>
      <c r="I14" s="129" t="s">
        <v>39</v>
      </c>
      <c r="J14" s="42" t="s">
        <v>39</v>
      </c>
      <c r="K14" s="127" t="s">
        <v>37</v>
      </c>
      <c r="L14" s="11">
        <v>11.2</v>
      </c>
      <c r="M14" s="128">
        <v>45988.0</v>
      </c>
    </row>
    <row r="15" ht="14.25" customHeight="1">
      <c r="A15" s="36" t="s">
        <v>109</v>
      </c>
      <c r="B15" s="127" t="s">
        <v>37</v>
      </c>
      <c r="C15" s="11">
        <v>18.267</v>
      </c>
      <c r="D15" s="128">
        <v>45988.0</v>
      </c>
      <c r="E15" s="127" t="s">
        <v>37</v>
      </c>
      <c r="F15" s="129">
        <v>12.3</v>
      </c>
      <c r="G15" s="128">
        <v>45980.0</v>
      </c>
      <c r="H15" s="127" t="s">
        <v>37</v>
      </c>
      <c r="I15" s="129">
        <v>6.018</v>
      </c>
      <c r="J15" s="128">
        <v>45980.0</v>
      </c>
      <c r="K15" s="127" t="s">
        <v>43</v>
      </c>
      <c r="L15" s="129" t="s">
        <v>39</v>
      </c>
      <c r="M15" s="42" t="s">
        <v>39</v>
      </c>
    </row>
    <row r="16" ht="14.25" customHeight="1">
      <c r="A16" s="36" t="s">
        <v>112</v>
      </c>
      <c r="B16" s="127" t="s">
        <v>37</v>
      </c>
      <c r="C16" s="11">
        <v>21.188</v>
      </c>
      <c r="D16" s="128">
        <v>45989.0</v>
      </c>
      <c r="E16" s="127" t="s">
        <v>37</v>
      </c>
      <c r="F16" s="129">
        <v>18.0</v>
      </c>
      <c r="G16" s="128">
        <v>45989.0</v>
      </c>
      <c r="H16" s="127" t="s">
        <v>37</v>
      </c>
      <c r="I16" s="129">
        <v>26.557</v>
      </c>
      <c r="J16" s="128">
        <v>45989.0</v>
      </c>
      <c r="K16" s="127" t="s">
        <v>43</v>
      </c>
      <c r="L16" s="129" t="s">
        <v>39</v>
      </c>
      <c r="M16" s="42" t="s">
        <v>39</v>
      </c>
    </row>
    <row r="17" ht="14.25" customHeight="1">
      <c r="A17" s="36" t="s">
        <v>116</v>
      </c>
      <c r="B17" s="127" t="s">
        <v>37</v>
      </c>
      <c r="C17" s="11">
        <v>90.036</v>
      </c>
      <c r="D17" s="128">
        <v>45987.0</v>
      </c>
      <c r="E17" s="127" t="s">
        <v>37</v>
      </c>
      <c r="F17" s="129">
        <v>27.7</v>
      </c>
      <c r="G17" s="128">
        <v>45989.0</v>
      </c>
      <c r="H17" s="127" t="s">
        <v>37</v>
      </c>
      <c r="I17" s="129">
        <v>67.126</v>
      </c>
      <c r="J17" s="128">
        <v>45989.0</v>
      </c>
      <c r="K17" s="127" t="s">
        <v>37</v>
      </c>
      <c r="L17" s="11">
        <v>8.734</v>
      </c>
      <c r="M17" s="128">
        <v>45959.0</v>
      </c>
    </row>
    <row r="18" ht="14.25" customHeight="1">
      <c r="A18" s="36" t="s">
        <v>120</v>
      </c>
      <c r="B18" s="127" t="s">
        <v>37</v>
      </c>
      <c r="C18" s="11">
        <v>19.157</v>
      </c>
      <c r="D18" s="128">
        <v>45988.0</v>
      </c>
      <c r="E18" s="127" t="s">
        <v>37</v>
      </c>
      <c r="F18" s="129">
        <v>50.2</v>
      </c>
      <c r="G18" s="128">
        <v>45988.0</v>
      </c>
      <c r="H18" s="127" t="s">
        <v>43</v>
      </c>
      <c r="I18" s="129" t="s">
        <v>39</v>
      </c>
      <c r="J18" s="42" t="s">
        <v>39</v>
      </c>
      <c r="K18" s="127" t="s">
        <v>37</v>
      </c>
      <c r="L18" s="129">
        <v>4.46</v>
      </c>
      <c r="M18" s="128">
        <v>45986.0</v>
      </c>
    </row>
    <row r="19" ht="14.25" customHeight="1">
      <c r="A19" s="46" t="s">
        <v>123</v>
      </c>
      <c r="B19" s="130" t="s">
        <v>37</v>
      </c>
      <c r="C19" s="131">
        <v>109.637</v>
      </c>
      <c r="D19" s="132">
        <v>45989.0</v>
      </c>
      <c r="E19" s="130" t="s">
        <v>37</v>
      </c>
      <c r="F19" s="133">
        <v>53.4</v>
      </c>
      <c r="G19" s="132">
        <v>45989.0</v>
      </c>
      <c r="H19" s="130" t="s">
        <v>37</v>
      </c>
      <c r="I19" s="133">
        <v>252.387</v>
      </c>
      <c r="J19" s="132">
        <v>45989.0</v>
      </c>
      <c r="K19" s="130" t="s">
        <v>43</v>
      </c>
      <c r="L19" s="133" t="s">
        <v>39</v>
      </c>
      <c r="M19" s="49" t="s">
        <v>39</v>
      </c>
    </row>
    <row r="20" ht="14.25" customHeight="1">
      <c r="B20" s="11"/>
      <c r="C20" s="11"/>
      <c r="D20" s="11"/>
      <c r="E20" s="11"/>
      <c r="F20" s="11"/>
      <c r="G20" s="11"/>
      <c r="H20" s="11"/>
      <c r="I20" s="11"/>
      <c r="J20" s="11"/>
      <c r="K20" s="11"/>
      <c r="L20" s="11"/>
      <c r="M20" s="11"/>
    </row>
    <row r="21" ht="14.25" customHeight="1">
      <c r="A21" s="30" t="s">
        <v>130</v>
      </c>
      <c r="B21" s="134"/>
      <c r="C21" s="134"/>
      <c r="D21" s="134"/>
      <c r="E21" s="134"/>
      <c r="F21" s="134"/>
      <c r="G21" s="134"/>
      <c r="H21" s="134"/>
      <c r="I21" s="134"/>
      <c r="J21" s="134"/>
      <c r="K21" s="134"/>
      <c r="L21" s="134"/>
      <c r="M21" s="134"/>
    </row>
    <row r="22" ht="14.25" customHeight="1">
      <c r="A22" s="60" t="s">
        <v>131</v>
      </c>
      <c r="B22" s="135" t="s">
        <v>37</v>
      </c>
      <c r="C22" s="68">
        <v>51.121</v>
      </c>
      <c r="D22" s="125">
        <v>45988.0</v>
      </c>
      <c r="E22" s="123" t="s">
        <v>37</v>
      </c>
      <c r="F22" s="136">
        <v>39.0</v>
      </c>
      <c r="G22" s="125">
        <v>45988.0</v>
      </c>
      <c r="H22" s="123" t="s">
        <v>37</v>
      </c>
      <c r="I22" s="124">
        <v>38.831</v>
      </c>
      <c r="J22" s="125">
        <v>45987.0</v>
      </c>
      <c r="K22" s="123" t="s">
        <v>37</v>
      </c>
      <c r="L22" s="126">
        <v>61.7</v>
      </c>
      <c r="M22" s="125">
        <v>45988.0</v>
      </c>
    </row>
    <row r="23" ht="14.25" customHeight="1">
      <c r="A23" s="70" t="s">
        <v>116</v>
      </c>
      <c r="B23" s="137" t="s">
        <v>37</v>
      </c>
      <c r="C23" s="138">
        <v>32.45</v>
      </c>
      <c r="D23" s="128">
        <v>45987.0</v>
      </c>
      <c r="E23" s="127" t="s">
        <v>37</v>
      </c>
      <c r="F23" s="138">
        <v>62.7</v>
      </c>
      <c r="G23" s="128">
        <v>45988.0</v>
      </c>
      <c r="H23" s="127" t="s">
        <v>43</v>
      </c>
      <c r="I23" s="129" t="s">
        <v>39</v>
      </c>
      <c r="J23" s="42" t="s">
        <v>39</v>
      </c>
      <c r="K23" s="127" t="s">
        <v>37</v>
      </c>
      <c r="L23" s="129">
        <v>24.0</v>
      </c>
      <c r="M23" s="128">
        <v>45988.0</v>
      </c>
    </row>
    <row r="24" ht="14.25" customHeight="1">
      <c r="A24" s="70" t="s">
        <v>142</v>
      </c>
      <c r="B24" s="127" t="s">
        <v>37</v>
      </c>
      <c r="C24" s="11">
        <v>15.266</v>
      </c>
      <c r="D24" s="128">
        <v>45987.0</v>
      </c>
      <c r="E24" s="127" t="s">
        <v>37</v>
      </c>
      <c r="F24" s="129">
        <v>11.0</v>
      </c>
      <c r="G24" s="128">
        <v>45988.0</v>
      </c>
      <c r="H24" s="127" t="s">
        <v>37</v>
      </c>
      <c r="I24" s="11">
        <v>24.043</v>
      </c>
      <c r="J24" s="128">
        <v>45987.0</v>
      </c>
      <c r="K24" s="127" t="s">
        <v>37</v>
      </c>
      <c r="L24" s="129">
        <v>1.508</v>
      </c>
      <c r="M24" s="128">
        <v>45988.0</v>
      </c>
    </row>
    <row r="25" ht="14.25" customHeight="1">
      <c r="A25" s="75" t="s">
        <v>148</v>
      </c>
      <c r="B25" s="127" t="s">
        <v>37</v>
      </c>
      <c r="C25" s="11">
        <v>14.566</v>
      </c>
      <c r="D25" s="128">
        <v>45988.0</v>
      </c>
      <c r="E25" s="127" t="s">
        <v>37</v>
      </c>
      <c r="F25" s="129">
        <v>5.906</v>
      </c>
      <c r="G25" s="128">
        <v>45988.0</v>
      </c>
      <c r="H25" s="127" t="s">
        <v>37</v>
      </c>
      <c r="I25" s="11">
        <v>19.676</v>
      </c>
      <c r="J25" s="128">
        <v>45988.0</v>
      </c>
      <c r="K25" s="127" t="s">
        <v>43</v>
      </c>
      <c r="L25" s="129" t="s">
        <v>39</v>
      </c>
      <c r="M25" s="42" t="s">
        <v>39</v>
      </c>
    </row>
    <row r="26" ht="14.25" customHeight="1">
      <c r="A26" s="70" t="s">
        <v>154</v>
      </c>
      <c r="B26" s="127" t="s">
        <v>37</v>
      </c>
      <c r="C26" s="11">
        <v>16.191</v>
      </c>
      <c r="D26" s="128">
        <v>45988.0</v>
      </c>
      <c r="E26" s="127" t="s">
        <v>37</v>
      </c>
      <c r="F26" s="129">
        <v>17.5</v>
      </c>
      <c r="G26" s="128">
        <v>45988.0</v>
      </c>
      <c r="H26" s="127" t="s">
        <v>43</v>
      </c>
      <c r="I26" s="129" t="s">
        <v>39</v>
      </c>
      <c r="J26" s="42" t="s">
        <v>39</v>
      </c>
      <c r="K26" s="127" t="s">
        <v>37</v>
      </c>
      <c r="L26" s="129">
        <v>1.758</v>
      </c>
      <c r="M26" s="128">
        <v>45983.0</v>
      </c>
    </row>
    <row r="27" ht="14.25" customHeight="1">
      <c r="A27" s="70" t="s">
        <v>159</v>
      </c>
      <c r="B27" s="127" t="s">
        <v>37</v>
      </c>
      <c r="C27" s="11">
        <v>5.332</v>
      </c>
      <c r="D27" s="128">
        <v>45985.0</v>
      </c>
      <c r="E27" s="127" t="s">
        <v>37</v>
      </c>
      <c r="F27" s="129">
        <v>5.626</v>
      </c>
      <c r="G27" s="128">
        <v>45988.0</v>
      </c>
      <c r="H27" s="127" t="s">
        <v>37</v>
      </c>
      <c r="I27" s="11">
        <v>26.032</v>
      </c>
      <c r="J27" s="128">
        <v>45987.0</v>
      </c>
      <c r="K27" s="127" t="s">
        <v>43</v>
      </c>
      <c r="L27" s="129" t="s">
        <v>39</v>
      </c>
      <c r="M27" s="42" t="s">
        <v>39</v>
      </c>
    </row>
    <row r="28" ht="14.25" customHeight="1">
      <c r="A28" s="70" t="s">
        <v>166</v>
      </c>
      <c r="B28" s="127" t="s">
        <v>37</v>
      </c>
      <c r="C28" s="11">
        <v>2.506</v>
      </c>
      <c r="D28" s="128">
        <v>45986.0</v>
      </c>
      <c r="E28" s="127" t="s">
        <v>37</v>
      </c>
      <c r="F28" s="129">
        <v>1.287</v>
      </c>
      <c r="G28" s="128">
        <v>45986.0</v>
      </c>
      <c r="H28" s="127" t="s">
        <v>37</v>
      </c>
      <c r="I28" s="11">
        <v>4.178</v>
      </c>
      <c r="J28" s="128">
        <v>45910.0</v>
      </c>
      <c r="K28" s="127" t="s">
        <v>37</v>
      </c>
      <c r="L28" s="11">
        <v>221.0</v>
      </c>
      <c r="M28" s="128">
        <v>45986.0</v>
      </c>
    </row>
    <row r="29" ht="14.25" customHeight="1">
      <c r="A29" s="70" t="s">
        <v>170</v>
      </c>
      <c r="B29" s="127" t="s">
        <v>37</v>
      </c>
      <c r="C29" s="11">
        <v>7.699</v>
      </c>
      <c r="D29" s="128">
        <v>45987.0</v>
      </c>
      <c r="E29" s="127" t="s">
        <v>37</v>
      </c>
      <c r="F29" s="129">
        <v>2.119</v>
      </c>
      <c r="G29" s="128">
        <v>45987.0</v>
      </c>
      <c r="H29" s="127" t="s">
        <v>37</v>
      </c>
      <c r="I29" s="11">
        <v>1.199</v>
      </c>
      <c r="J29" s="128">
        <v>45987.0</v>
      </c>
      <c r="K29" s="127" t="s">
        <v>37</v>
      </c>
      <c r="L29" s="129">
        <v>1.304</v>
      </c>
      <c r="M29" s="128">
        <v>45987.0</v>
      </c>
    </row>
    <row r="30" ht="14.25" customHeight="1">
      <c r="A30" s="70" t="s">
        <v>171</v>
      </c>
      <c r="B30" s="127" t="s">
        <v>37</v>
      </c>
      <c r="C30" s="11">
        <v>7.977</v>
      </c>
      <c r="D30" s="128">
        <v>45987.0</v>
      </c>
      <c r="E30" s="127" t="s">
        <v>37</v>
      </c>
      <c r="F30" s="129">
        <v>2.537</v>
      </c>
      <c r="G30" s="128">
        <v>45987.0</v>
      </c>
      <c r="H30" s="127" t="s">
        <v>37</v>
      </c>
      <c r="I30" s="11">
        <v>855.0</v>
      </c>
      <c r="J30" s="128">
        <v>43271.0</v>
      </c>
      <c r="K30" s="127" t="s">
        <v>43</v>
      </c>
      <c r="L30" s="129" t="s">
        <v>39</v>
      </c>
      <c r="M30" s="42" t="s">
        <v>39</v>
      </c>
    </row>
    <row r="31" ht="14.25" customHeight="1">
      <c r="A31" s="79" t="s">
        <v>173</v>
      </c>
      <c r="B31" s="130" t="s">
        <v>37</v>
      </c>
      <c r="C31" s="131">
        <v>4.372</v>
      </c>
      <c r="D31" s="132">
        <v>45989.0</v>
      </c>
      <c r="E31" s="130" t="s">
        <v>37</v>
      </c>
      <c r="F31" s="133">
        <v>1.029</v>
      </c>
      <c r="G31" s="132">
        <v>45988.0</v>
      </c>
      <c r="H31" s="130" t="s">
        <v>37</v>
      </c>
      <c r="I31" s="131">
        <v>43.0</v>
      </c>
      <c r="J31" s="132">
        <v>45903.0</v>
      </c>
      <c r="K31" s="130" t="s">
        <v>37</v>
      </c>
      <c r="L31" s="133">
        <v>1097.0</v>
      </c>
      <c r="M31" s="132">
        <v>45973.0</v>
      </c>
    </row>
    <row r="32" ht="14.25" customHeight="1"/>
    <row r="33" ht="14.25" customHeight="1">
      <c r="A33" s="25" t="s">
        <v>174</v>
      </c>
      <c r="B33" s="31"/>
      <c r="C33" s="31"/>
      <c r="D33" s="31"/>
      <c r="E33" s="31"/>
      <c r="F33" s="31"/>
      <c r="G33" s="31"/>
      <c r="H33" s="31"/>
      <c r="I33" s="31"/>
      <c r="J33" s="31"/>
      <c r="K33" s="31"/>
      <c r="L33" s="31"/>
      <c r="M33" s="32"/>
    </row>
    <row r="34" ht="14.25" customHeight="1">
      <c r="A34" s="36" t="s">
        <v>176</v>
      </c>
      <c r="B34" s="135" t="s">
        <v>37</v>
      </c>
      <c r="C34" s="68">
        <v>14.511</v>
      </c>
      <c r="D34" s="139">
        <v>46113.0</v>
      </c>
      <c r="E34" s="135" t="s">
        <v>37</v>
      </c>
      <c r="F34" s="136">
        <v>2.68</v>
      </c>
      <c r="G34" s="139">
        <v>46113.0</v>
      </c>
      <c r="H34" s="135" t="s">
        <v>37</v>
      </c>
      <c r="I34" s="136">
        <v>7.71</v>
      </c>
      <c r="J34" s="140" t="s">
        <v>282</v>
      </c>
      <c r="K34" s="100" t="s">
        <v>37</v>
      </c>
      <c r="L34" s="141">
        <v>770.0</v>
      </c>
      <c r="M34" s="142">
        <v>45912.0</v>
      </c>
    </row>
    <row r="35" ht="14.25" customHeight="1">
      <c r="A35" s="36" t="s">
        <v>178</v>
      </c>
      <c r="B35" s="143" t="s">
        <v>37</v>
      </c>
      <c r="C35" s="100">
        <v>43.289</v>
      </c>
      <c r="D35" s="142">
        <v>46113.0</v>
      </c>
      <c r="E35" s="143" t="s">
        <v>37</v>
      </c>
      <c r="F35" s="141">
        <v>22.8</v>
      </c>
      <c r="G35" s="142">
        <v>46113.0</v>
      </c>
      <c r="H35" s="143" t="s">
        <v>37</v>
      </c>
      <c r="I35" s="100">
        <v>29.216</v>
      </c>
      <c r="J35" s="142">
        <v>44104.0</v>
      </c>
      <c r="K35" s="100" t="s">
        <v>37</v>
      </c>
      <c r="L35" s="141">
        <v>5.714</v>
      </c>
      <c r="M35" s="87" t="s">
        <v>283</v>
      </c>
    </row>
    <row r="36" ht="14.25" customHeight="1">
      <c r="A36" s="36" t="s">
        <v>180</v>
      </c>
      <c r="B36" s="143" t="s">
        <v>37</v>
      </c>
      <c r="C36" s="100">
        <v>67.072</v>
      </c>
      <c r="D36" s="142">
        <v>46113.0</v>
      </c>
      <c r="E36" s="143" t="s">
        <v>37</v>
      </c>
      <c r="F36" s="100">
        <v>7.205</v>
      </c>
      <c r="G36" s="142">
        <v>46113.0</v>
      </c>
      <c r="H36" s="143" t="s">
        <v>37</v>
      </c>
      <c r="I36" s="100">
        <v>16.848</v>
      </c>
      <c r="J36" s="142">
        <v>45582.0</v>
      </c>
      <c r="K36" s="100" t="s">
        <v>37</v>
      </c>
      <c r="L36" s="141">
        <v>2.195</v>
      </c>
      <c r="M36" s="142">
        <v>46113.0</v>
      </c>
    </row>
    <row r="37" ht="14.25" customHeight="1">
      <c r="A37" s="36" t="s">
        <v>182</v>
      </c>
      <c r="B37" s="143" t="s">
        <v>37</v>
      </c>
      <c r="C37" s="100">
        <v>61.629</v>
      </c>
      <c r="D37" s="142">
        <v>46113.0</v>
      </c>
      <c r="E37" s="143" t="s">
        <v>37</v>
      </c>
      <c r="F37" s="141">
        <v>19.0</v>
      </c>
      <c r="G37" s="142">
        <v>46113.0</v>
      </c>
      <c r="H37" s="143" t="s">
        <v>37</v>
      </c>
      <c r="I37" s="100">
        <v>38.866</v>
      </c>
      <c r="J37" s="87" t="s">
        <v>284</v>
      </c>
      <c r="K37" s="11" t="s">
        <v>43</v>
      </c>
      <c r="L37" s="129" t="s">
        <v>39</v>
      </c>
      <c r="M37" s="42" t="s">
        <v>39</v>
      </c>
    </row>
    <row r="38" ht="14.25" customHeight="1">
      <c r="A38" s="36" t="s">
        <v>185</v>
      </c>
      <c r="B38" s="143" t="s">
        <v>37</v>
      </c>
      <c r="C38" s="100">
        <v>91.433</v>
      </c>
      <c r="D38" s="142">
        <v>46113.0</v>
      </c>
      <c r="E38" s="143" t="s">
        <v>37</v>
      </c>
      <c r="F38" s="141">
        <v>2.126</v>
      </c>
      <c r="G38" s="142">
        <v>46113.0</v>
      </c>
      <c r="H38" s="143" t="s">
        <v>37</v>
      </c>
      <c r="I38" s="100">
        <v>24.487</v>
      </c>
      <c r="J38" s="142">
        <v>45878.0</v>
      </c>
      <c r="K38" s="100" t="s">
        <v>37</v>
      </c>
      <c r="L38" s="141">
        <v>31.4</v>
      </c>
      <c r="M38" s="142">
        <v>46113.0</v>
      </c>
    </row>
    <row r="39" ht="14.25" customHeight="1">
      <c r="A39" s="36" t="s">
        <v>189</v>
      </c>
      <c r="B39" s="144" t="s">
        <v>37</v>
      </c>
      <c r="C39" s="145" t="s">
        <v>285</v>
      </c>
      <c r="D39" s="146">
        <v>46113.0</v>
      </c>
      <c r="E39" s="144" t="s">
        <v>37</v>
      </c>
      <c r="F39" s="145" t="s">
        <v>286</v>
      </c>
      <c r="G39" s="147" t="s">
        <v>287</v>
      </c>
      <c r="H39" s="144" t="s">
        <v>37</v>
      </c>
      <c r="I39" s="148" t="s">
        <v>288</v>
      </c>
      <c r="J39" s="146" t="s">
        <v>289</v>
      </c>
      <c r="K39" s="100" t="s">
        <v>37</v>
      </c>
      <c r="L39" s="141" t="s">
        <v>290</v>
      </c>
      <c r="M39" s="87" t="s">
        <v>291</v>
      </c>
    </row>
    <row r="40" ht="14.25" customHeight="1">
      <c r="A40" s="25" t="s">
        <v>193</v>
      </c>
      <c r="B40" s="149"/>
      <c r="C40" s="149"/>
      <c r="D40" s="149"/>
      <c r="E40" s="149"/>
      <c r="F40" s="150"/>
      <c r="G40" s="149"/>
      <c r="H40" s="149"/>
      <c r="I40" s="149"/>
      <c r="J40" s="149"/>
      <c r="K40" s="149"/>
      <c r="L40" s="150"/>
      <c r="M40" s="151"/>
    </row>
    <row r="41" ht="14.25" customHeight="1">
      <c r="A41" s="33" t="s">
        <v>195</v>
      </c>
      <c r="B41" s="135" t="s">
        <v>37</v>
      </c>
      <c r="C41" s="136">
        <v>108.0</v>
      </c>
      <c r="D41" s="139">
        <v>46113.0</v>
      </c>
      <c r="E41" s="135" t="s">
        <v>37</v>
      </c>
      <c r="F41" s="136">
        <v>13.4</v>
      </c>
      <c r="G41" s="139">
        <v>46113.0</v>
      </c>
      <c r="H41" s="135" t="s">
        <v>37</v>
      </c>
      <c r="I41" s="68">
        <v>49.917</v>
      </c>
      <c r="J41" s="139">
        <v>44808.0</v>
      </c>
      <c r="K41" s="135" t="s">
        <v>37</v>
      </c>
      <c r="L41" s="136">
        <v>2.157</v>
      </c>
      <c r="M41" s="139">
        <v>46113.0</v>
      </c>
    </row>
    <row r="42" ht="14.25" customHeight="1">
      <c r="A42" s="36" t="s">
        <v>198</v>
      </c>
      <c r="B42" s="143" t="s">
        <v>37</v>
      </c>
      <c r="C42" s="141">
        <v>109.105</v>
      </c>
      <c r="D42" s="87" t="s">
        <v>292</v>
      </c>
      <c r="E42" s="143" t="s">
        <v>37</v>
      </c>
      <c r="F42" s="141">
        <v>28.5</v>
      </c>
      <c r="G42" s="142">
        <v>46113.0</v>
      </c>
      <c r="H42" s="143" t="s">
        <v>43</v>
      </c>
      <c r="I42" s="129" t="s">
        <v>39</v>
      </c>
      <c r="J42" s="42" t="s">
        <v>39</v>
      </c>
      <c r="K42" s="143" t="s">
        <v>37</v>
      </c>
      <c r="L42" s="141">
        <v>6.601</v>
      </c>
      <c r="M42" s="87" t="s">
        <v>292</v>
      </c>
    </row>
    <row r="43" ht="14.25" customHeight="1">
      <c r="A43" s="36" t="s">
        <v>201</v>
      </c>
      <c r="B43" s="143" t="s">
        <v>37</v>
      </c>
      <c r="C43" s="141">
        <v>451.0</v>
      </c>
      <c r="D43" s="142">
        <v>46113.0</v>
      </c>
      <c r="E43" s="143" t="s">
        <v>37</v>
      </c>
      <c r="F43" s="141">
        <v>48.9</v>
      </c>
      <c r="G43" s="142">
        <v>46113.0</v>
      </c>
      <c r="H43" s="143" t="s">
        <v>37</v>
      </c>
      <c r="I43" s="141">
        <v>90.768</v>
      </c>
      <c r="J43" s="142">
        <v>45694.0</v>
      </c>
      <c r="K43" s="143" t="s">
        <v>37</v>
      </c>
      <c r="L43" s="141">
        <v>32.5</v>
      </c>
      <c r="M43" s="87" t="s">
        <v>293</v>
      </c>
    </row>
    <row r="44" ht="14.25" customHeight="1">
      <c r="A44" s="36" t="s">
        <v>202</v>
      </c>
      <c r="B44" s="143" t="s">
        <v>37</v>
      </c>
      <c r="C44" s="141">
        <v>186.387</v>
      </c>
      <c r="D44" s="142">
        <v>46113.0</v>
      </c>
      <c r="E44" s="143" t="s">
        <v>37</v>
      </c>
      <c r="F44" s="141">
        <v>18.8</v>
      </c>
      <c r="G44" s="142">
        <v>46113.0</v>
      </c>
      <c r="H44" s="143" t="s">
        <v>37</v>
      </c>
      <c r="I44" s="100">
        <v>50.397</v>
      </c>
      <c r="J44" s="142">
        <v>45618.0</v>
      </c>
      <c r="K44" s="143" t="s">
        <v>37</v>
      </c>
      <c r="L44" s="141">
        <v>2.392</v>
      </c>
      <c r="M44" s="87" t="s">
        <v>294</v>
      </c>
    </row>
    <row r="45" ht="14.25" customHeight="1">
      <c r="A45" s="36" t="s">
        <v>204</v>
      </c>
      <c r="B45" s="143" t="s">
        <v>37</v>
      </c>
      <c r="C45" s="141">
        <v>624.0</v>
      </c>
      <c r="D45" s="142">
        <v>46113.0</v>
      </c>
      <c r="E45" s="143" t="s">
        <v>37</v>
      </c>
      <c r="F45" s="141">
        <v>101.0</v>
      </c>
      <c r="G45" s="142">
        <v>46113.0</v>
      </c>
      <c r="H45" s="143" t="s">
        <v>37</v>
      </c>
      <c r="I45" s="100">
        <v>49.369</v>
      </c>
      <c r="J45" s="142">
        <v>46113.0</v>
      </c>
      <c r="K45" s="143" t="s">
        <v>37</v>
      </c>
      <c r="L45" s="141">
        <v>32.2</v>
      </c>
      <c r="M45" s="142">
        <v>44827.0</v>
      </c>
    </row>
    <row r="46" ht="14.25" customHeight="1">
      <c r="A46" s="46" t="s">
        <v>205</v>
      </c>
      <c r="B46" s="144" t="s">
        <v>37</v>
      </c>
      <c r="C46" s="145">
        <v>115.585</v>
      </c>
      <c r="D46" s="146">
        <v>46113.0</v>
      </c>
      <c r="E46" s="144" t="s">
        <v>37</v>
      </c>
      <c r="F46" s="145">
        <v>21.2</v>
      </c>
      <c r="G46" s="146">
        <v>46113.0</v>
      </c>
      <c r="H46" s="144" t="s">
        <v>37</v>
      </c>
      <c r="I46" s="148">
        <v>43645.0</v>
      </c>
      <c r="J46" s="146">
        <v>45248.0</v>
      </c>
      <c r="K46" s="144" t="s">
        <v>37</v>
      </c>
      <c r="L46" s="145">
        <v>2.839</v>
      </c>
      <c r="M46" s="146">
        <v>46113.0</v>
      </c>
    </row>
    <row r="47" ht="14.25" customHeight="1"/>
    <row r="48" ht="14.25" customHeight="1">
      <c r="A48" s="69" t="s">
        <v>295</v>
      </c>
    </row>
    <row r="49" ht="14.25" customHeight="1">
      <c r="A49" s="22" t="s">
        <v>296</v>
      </c>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4">
    <mergeCell ref="B2:D2"/>
    <mergeCell ref="E2:G2"/>
    <mergeCell ref="H2:J2"/>
    <mergeCell ref="K2:M2"/>
  </mergeCells>
  <printOptions/>
  <pageMargins bottom="0.787401575" footer="0.0" header="0.0" left="0.7" right="0.7" top="0.787401575"/>
  <pageSetup paperSize="9"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2025-09-15T11:29:35Z</dcterms:created>
  <dc:creator>Adrian Favero</dc:creator>
</cp:coreProperties>
</file>